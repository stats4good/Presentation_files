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35" windowWidth="16275" windowHeight="7245" activeTab="3"/>
  </bookViews>
  <sheets>
    <sheet name="LogitMultinomialNominal" sheetId="1" r:id="rId1"/>
    <sheet name="LogitMultinomialOrdinal" sheetId="2" r:id="rId2"/>
    <sheet name="DadosIntrodução" sheetId="34" r:id="rId3"/>
    <sheet name="LogitCondicionalNonimal" sheetId="28" r:id="rId4"/>
    <sheet name="ProbitBinário" sheetId="16" r:id="rId5"/>
    <sheet name="LogitBinário" sheetId="3" r:id="rId6"/>
  </sheets>
  <functionGroups builtInGroupCount="17"/>
  <externalReferences>
    <externalReference r:id="rId7"/>
  </externalReferences>
  <definedNames>
    <definedName name="solver_adj" localSheetId="5" hidden="1">LogitBinário!$G$2:$I$2</definedName>
    <definedName name="solver_adj" localSheetId="3" hidden="1">LogitCondicionalNonimal!$J$3:$O$3</definedName>
    <definedName name="solver_adj" localSheetId="0" hidden="1">LogitMultinomialNominal!$L$3:$Q$3</definedName>
    <definedName name="solver_adj" localSheetId="1" hidden="1">LogitMultinomialOrdinal!$E$3:$H$3</definedName>
    <definedName name="solver_adj" localSheetId="4" hidden="1">ProbitBinário!$G$2:$I$2</definedName>
    <definedName name="solver_cvg" localSheetId="5" hidden="1">0.0001</definedName>
    <definedName name="solver_cvg" localSheetId="3" hidden="1">0.0001</definedName>
    <definedName name="solver_cvg" localSheetId="0" hidden="1">0.0001</definedName>
    <definedName name="solver_cvg" localSheetId="1" hidden="1">0.0001</definedName>
    <definedName name="solver_cvg" localSheetId="4" hidden="1">0.0001</definedName>
    <definedName name="solver_drv" localSheetId="5" hidden="1">1</definedName>
    <definedName name="solver_drv" localSheetId="3" hidden="1">1</definedName>
    <definedName name="solver_drv" localSheetId="0" hidden="1">1</definedName>
    <definedName name="solver_drv" localSheetId="1" hidden="1">1</definedName>
    <definedName name="solver_drv" localSheetId="4" hidden="1">1</definedName>
    <definedName name="solver_eng" localSheetId="5" hidden="1">1</definedName>
    <definedName name="solver_eng" localSheetId="3" hidden="1">1</definedName>
    <definedName name="solver_eng" localSheetId="0" hidden="1">1</definedName>
    <definedName name="solver_eng" localSheetId="1" hidden="1">1</definedName>
    <definedName name="solver_eng" localSheetId="4" hidden="1">1</definedName>
    <definedName name="solver_est" localSheetId="5" hidden="1">1</definedName>
    <definedName name="solver_est" localSheetId="3" hidden="1">1</definedName>
    <definedName name="solver_est" localSheetId="0" hidden="1">1</definedName>
    <definedName name="solver_est" localSheetId="1" hidden="1">1</definedName>
    <definedName name="solver_est" localSheetId="4" hidden="1">1</definedName>
    <definedName name="solver_itr" localSheetId="5" hidden="1">2147483647</definedName>
    <definedName name="solver_itr" localSheetId="3" hidden="1">2147483647</definedName>
    <definedName name="solver_itr" localSheetId="0" hidden="1">2147483647</definedName>
    <definedName name="solver_itr" localSheetId="1" hidden="1">2147483647</definedName>
    <definedName name="solver_itr" localSheetId="4" hidden="1">2147483647</definedName>
    <definedName name="solver_lhs1" localSheetId="1" hidden="1">LogitMultinomialOrdinal!$E$3</definedName>
    <definedName name="solver_mip" localSheetId="5" hidden="1">2147483647</definedName>
    <definedName name="solver_mip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4" hidden="1">2147483647</definedName>
    <definedName name="solver_mni" localSheetId="5" hidden="1">30</definedName>
    <definedName name="solver_mni" localSheetId="3" hidden="1">30</definedName>
    <definedName name="solver_mni" localSheetId="0" hidden="1">30</definedName>
    <definedName name="solver_mni" localSheetId="1" hidden="1">30</definedName>
    <definedName name="solver_mni" localSheetId="4" hidden="1">30</definedName>
    <definedName name="solver_mrt" localSheetId="5" hidden="1">0.075</definedName>
    <definedName name="solver_mrt" localSheetId="3" hidden="1">0.075</definedName>
    <definedName name="solver_mrt" localSheetId="0" hidden="1">0.075</definedName>
    <definedName name="solver_mrt" localSheetId="1" hidden="1">0.075</definedName>
    <definedName name="solver_mrt" localSheetId="4" hidden="1">0.075</definedName>
    <definedName name="solver_msl" localSheetId="5" hidden="1">2</definedName>
    <definedName name="solver_msl" localSheetId="3" hidden="1">2</definedName>
    <definedName name="solver_msl" localSheetId="0" hidden="1">2</definedName>
    <definedName name="solver_msl" localSheetId="1" hidden="1">2</definedName>
    <definedName name="solver_msl" localSheetId="4" hidden="1">2</definedName>
    <definedName name="solver_neg" localSheetId="5" hidden="1">2</definedName>
    <definedName name="solver_neg" localSheetId="3" hidden="1">2</definedName>
    <definedName name="solver_neg" localSheetId="0" hidden="1">2</definedName>
    <definedName name="solver_neg" localSheetId="1" hidden="1">2</definedName>
    <definedName name="solver_neg" localSheetId="4" hidden="1">2</definedName>
    <definedName name="solver_nod" localSheetId="5" hidden="1">2147483647</definedName>
    <definedName name="solver_nod" localSheetId="3" hidden="1">2147483647</definedName>
    <definedName name="solver_nod" localSheetId="0" hidden="1">2147483647</definedName>
    <definedName name="solver_nod" localSheetId="1" hidden="1">2147483647</definedName>
    <definedName name="solver_nod" localSheetId="4" hidden="1">2147483647</definedName>
    <definedName name="solver_num" localSheetId="5" hidden="1">0</definedName>
    <definedName name="solver_num" localSheetId="3" hidden="1">0</definedName>
    <definedName name="solver_num" localSheetId="0" hidden="1">0</definedName>
    <definedName name="solver_num" localSheetId="1" hidden="1">1</definedName>
    <definedName name="solver_num" localSheetId="4" hidden="1">0</definedName>
    <definedName name="solver_nwt" localSheetId="5" hidden="1">1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nwt" localSheetId="4" hidden="1">1</definedName>
    <definedName name="solver_opt" localSheetId="5" hidden="1">LogitBinário!$M$2</definedName>
    <definedName name="solver_opt" localSheetId="3" hidden="1">LogitCondicionalNonimal!$AG$3</definedName>
    <definedName name="solver_opt" localSheetId="0" hidden="1">LogitMultinomialNominal!$W$3</definedName>
    <definedName name="solver_opt" localSheetId="1" hidden="1">LogitMultinomialOrdinal!$M$3</definedName>
    <definedName name="solver_opt" localSheetId="4" hidden="1">ProbitBinário!$M$2</definedName>
    <definedName name="solver_pre" localSheetId="5" hidden="1">0.000001</definedName>
    <definedName name="solver_pre" localSheetId="3" hidden="1">0.000001</definedName>
    <definedName name="solver_pre" localSheetId="0" hidden="1">0.000001</definedName>
    <definedName name="solver_pre" localSheetId="1" hidden="1">0.000001</definedName>
    <definedName name="solver_pre" localSheetId="4" hidden="1">0.000001</definedName>
    <definedName name="solver_rbv" localSheetId="5" hidden="1">1</definedName>
    <definedName name="solver_rbv" localSheetId="3" hidden="1">1</definedName>
    <definedName name="solver_rbv" localSheetId="0" hidden="1">1</definedName>
    <definedName name="solver_rbv" localSheetId="1" hidden="1">1</definedName>
    <definedName name="solver_rbv" localSheetId="4" hidden="1">1</definedName>
    <definedName name="solver_rel1" localSheetId="1" hidden="1">1</definedName>
    <definedName name="solver_rhs1" localSheetId="1" hidden="1">LogitMultinomialOrdinal!$F$3</definedName>
    <definedName name="solver_rlx" localSheetId="5" hidden="1">2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rlx" localSheetId="4" hidden="1">2</definedName>
    <definedName name="solver_rsd" localSheetId="5" hidden="1">0</definedName>
    <definedName name="solver_rsd" localSheetId="3" hidden="1">0</definedName>
    <definedName name="solver_rsd" localSheetId="0" hidden="1">0</definedName>
    <definedName name="solver_rsd" localSheetId="1" hidden="1">0</definedName>
    <definedName name="solver_rsd" localSheetId="4" hidden="1">0</definedName>
    <definedName name="solver_scl" localSheetId="5" hidden="1">1</definedName>
    <definedName name="solver_scl" localSheetId="3" hidden="1">1</definedName>
    <definedName name="solver_scl" localSheetId="0" hidden="1">1</definedName>
    <definedName name="solver_scl" localSheetId="1" hidden="1">1</definedName>
    <definedName name="solver_scl" localSheetId="4" hidden="1">1</definedName>
    <definedName name="solver_sho" localSheetId="5" hidden="1">2</definedName>
    <definedName name="solver_sho" localSheetId="3" hidden="1">2</definedName>
    <definedName name="solver_sho" localSheetId="0" hidden="1">2</definedName>
    <definedName name="solver_sho" localSheetId="1" hidden="1">2</definedName>
    <definedName name="solver_sho" localSheetId="4" hidden="1">2</definedName>
    <definedName name="solver_ssz" localSheetId="5" hidden="1">100</definedName>
    <definedName name="solver_ssz" localSheetId="3" hidden="1">100</definedName>
    <definedName name="solver_ssz" localSheetId="0" hidden="1">100</definedName>
    <definedName name="solver_ssz" localSheetId="1" hidden="1">100</definedName>
    <definedName name="solver_ssz" localSheetId="4" hidden="1">100</definedName>
    <definedName name="solver_tim" localSheetId="5" hidden="1">2147483647</definedName>
    <definedName name="solver_tim" localSheetId="3" hidden="1">2147483647</definedName>
    <definedName name="solver_tim" localSheetId="0" hidden="1">2147483647</definedName>
    <definedName name="solver_tim" localSheetId="1" hidden="1">2147483647</definedName>
    <definedName name="solver_tim" localSheetId="4" hidden="1">2147483647</definedName>
    <definedName name="solver_tol" localSheetId="5" hidden="1">0.01</definedName>
    <definedName name="solver_tol" localSheetId="3" hidden="1">0.01</definedName>
    <definedName name="solver_tol" localSheetId="0" hidden="1">0.01</definedName>
    <definedName name="solver_tol" localSheetId="1" hidden="1">0.01</definedName>
    <definedName name="solver_tol" localSheetId="4" hidden="1">0.01</definedName>
    <definedName name="solver_typ" localSheetId="5" hidden="1">1</definedName>
    <definedName name="solver_typ" localSheetId="3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val" localSheetId="5" hidden="1">0</definedName>
    <definedName name="solver_val" localSheetId="3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er" localSheetId="5" hidden="1">3</definedName>
    <definedName name="solver_ver" localSheetId="3" hidden="1">3</definedName>
    <definedName name="solver_ver" localSheetId="0" hidden="1">3</definedName>
    <definedName name="solver_ver" localSheetId="1" hidden="1">3</definedName>
    <definedName name="solver_ver" localSheetId="4" hidden="1">3</definedName>
    <definedName name="xdata1" hidden="1">50+(ROW(OFFSET(#REF!,0,0,100,1))-1)*2.0202020202</definedName>
    <definedName name="xdata2" hidden="1">50+(ROW(OFFSET(#REF!,0,0,100,1))-1)*2.0202020202</definedName>
    <definedName name="ydata1" hidden="1">0+(1)*[1]!XLSTAT_CDFNormal(1.20106583327946+-0.0150848460396876*[0]!xdata1)</definedName>
    <definedName name="ydata2" hidden="1">0+(1)*[1]!XLSTAT_CDFNormal(1.90484563792576+-0.0150848460396876*[0]!xdata2)</definedName>
  </definedNames>
  <calcPr calcId="144525"/>
</workbook>
</file>

<file path=xl/calcChain.xml><?xml version="1.0" encoding="utf-8"?>
<calcChain xmlns="http://schemas.openxmlformats.org/spreadsheetml/2006/main">
  <c r="P3" i="28" l="1"/>
  <c r="Q3" i="28"/>
  <c r="I3" i="2" l="1"/>
  <c r="L3" i="2" s="1"/>
  <c r="Z6" i="1"/>
  <c r="AA3" i="1"/>
  <c r="Z3" i="1"/>
  <c r="Y3" i="1"/>
  <c r="T3" i="1"/>
  <c r="S3" i="1"/>
  <c r="R3" i="1"/>
  <c r="U3" i="28" l="1"/>
  <c r="AC3" i="28"/>
  <c r="D4" i="3" l="1"/>
  <c r="D2" i="3"/>
  <c r="U3" i="1" l="1"/>
  <c r="D2" i="16"/>
  <c r="D3" i="16"/>
  <c r="K2" i="16"/>
  <c r="AO3" i="28"/>
  <c r="AB3" i="28"/>
  <c r="K2" i="3"/>
  <c r="AM16" i="28" l="1"/>
  <c r="AK19" i="28"/>
  <c r="AL16" i="28"/>
  <c r="AK18" i="28"/>
  <c r="AK17" i="28"/>
  <c r="AK16" i="28"/>
  <c r="AL5" i="28"/>
  <c r="AM5" i="28" s="1"/>
  <c r="AL3" i="28"/>
  <c r="AM3" i="28"/>
  <c r="AL19" i="28" l="1"/>
  <c r="AK25" i="28"/>
  <c r="AK24" i="28"/>
  <c r="AL23" i="28" s="1"/>
  <c r="AK23" i="28"/>
  <c r="AK22" i="28"/>
  <c r="AK21" i="28"/>
  <c r="AL21" i="28" s="1"/>
  <c r="AK20" i="28"/>
  <c r="AM23" i="28" l="1"/>
  <c r="AM21" i="28"/>
  <c r="AM19" i="28"/>
  <c r="P362" i="28"/>
  <c r="Q362" i="28" s="1"/>
  <c r="W122" i="28" s="1"/>
  <c r="P361" i="28"/>
  <c r="Q361" i="28" s="1"/>
  <c r="V122" i="28" s="1"/>
  <c r="P360" i="28"/>
  <c r="Q360" i="28" s="1"/>
  <c r="U122" i="28" s="1"/>
  <c r="P359" i="28"/>
  <c r="Q359" i="28" s="1"/>
  <c r="W121" i="28" s="1"/>
  <c r="P358" i="28"/>
  <c r="Q358" i="28" s="1"/>
  <c r="V121" i="28" s="1"/>
  <c r="P357" i="28"/>
  <c r="Q357" i="28" s="1"/>
  <c r="U121" i="28" s="1"/>
  <c r="P356" i="28"/>
  <c r="Q356" i="28" s="1"/>
  <c r="W120" i="28" s="1"/>
  <c r="P355" i="28"/>
  <c r="Q355" i="28" s="1"/>
  <c r="V120" i="28" s="1"/>
  <c r="P354" i="28"/>
  <c r="Q354" i="28" s="1"/>
  <c r="U120" i="28" s="1"/>
  <c r="P353" i="28"/>
  <c r="Q353" i="28" s="1"/>
  <c r="W119" i="28" s="1"/>
  <c r="P352" i="28"/>
  <c r="Q352" i="28" s="1"/>
  <c r="V119" i="28" s="1"/>
  <c r="P351" i="28"/>
  <c r="Q351" i="28" s="1"/>
  <c r="U119" i="28" s="1"/>
  <c r="P350" i="28"/>
  <c r="Q350" i="28" s="1"/>
  <c r="W118" i="28" s="1"/>
  <c r="P349" i="28"/>
  <c r="Q349" i="28" s="1"/>
  <c r="V118" i="28" s="1"/>
  <c r="P348" i="28"/>
  <c r="Q348" i="28" s="1"/>
  <c r="U118" i="28" s="1"/>
  <c r="P347" i="28"/>
  <c r="Q347" i="28" s="1"/>
  <c r="W117" i="28" s="1"/>
  <c r="P346" i="28"/>
  <c r="Q346" i="28" s="1"/>
  <c r="V117" i="28" s="1"/>
  <c r="P345" i="28"/>
  <c r="Q345" i="28" s="1"/>
  <c r="U117" i="28" s="1"/>
  <c r="P344" i="28"/>
  <c r="Q344" i="28" s="1"/>
  <c r="W116" i="28" s="1"/>
  <c r="P343" i="28"/>
  <c r="Q343" i="28" s="1"/>
  <c r="V116" i="28" s="1"/>
  <c r="P342" i="28"/>
  <c r="Q342" i="28" s="1"/>
  <c r="U116" i="28" s="1"/>
  <c r="P341" i="28"/>
  <c r="Q341" i="28" s="1"/>
  <c r="W115" i="28" s="1"/>
  <c r="P340" i="28"/>
  <c r="Q340" i="28" s="1"/>
  <c r="V115" i="28" s="1"/>
  <c r="P339" i="28"/>
  <c r="Q339" i="28" s="1"/>
  <c r="U115" i="28" s="1"/>
  <c r="P338" i="28"/>
  <c r="Q338" i="28" s="1"/>
  <c r="W114" i="28" s="1"/>
  <c r="P337" i="28"/>
  <c r="Q337" i="28" s="1"/>
  <c r="V114" i="28" s="1"/>
  <c r="P336" i="28"/>
  <c r="Q336" i="28" s="1"/>
  <c r="U114" i="28" s="1"/>
  <c r="P335" i="28"/>
  <c r="Q335" i="28" s="1"/>
  <c r="W113" i="28" s="1"/>
  <c r="P334" i="28"/>
  <c r="Q334" i="28" s="1"/>
  <c r="V113" i="28" s="1"/>
  <c r="P333" i="28"/>
  <c r="Q333" i="28" s="1"/>
  <c r="U113" i="28" s="1"/>
  <c r="P332" i="28"/>
  <c r="Q332" i="28" s="1"/>
  <c r="W112" i="28" s="1"/>
  <c r="P331" i="28"/>
  <c r="Q331" i="28" s="1"/>
  <c r="V112" i="28" s="1"/>
  <c r="P330" i="28"/>
  <c r="Q330" i="28" s="1"/>
  <c r="U112" i="28" s="1"/>
  <c r="P329" i="28"/>
  <c r="Q329" i="28" s="1"/>
  <c r="W111" i="28" s="1"/>
  <c r="P328" i="28"/>
  <c r="Q328" i="28" s="1"/>
  <c r="V111" i="28" s="1"/>
  <c r="P327" i="28"/>
  <c r="Q327" i="28" s="1"/>
  <c r="U111" i="28" s="1"/>
  <c r="P326" i="28"/>
  <c r="Q326" i="28" s="1"/>
  <c r="W110" i="28" s="1"/>
  <c r="P325" i="28"/>
  <c r="Q325" i="28" s="1"/>
  <c r="V110" i="28" s="1"/>
  <c r="P324" i="28"/>
  <c r="Q324" i="28" s="1"/>
  <c r="U110" i="28" s="1"/>
  <c r="P323" i="28"/>
  <c r="Q323" i="28" s="1"/>
  <c r="W109" i="28" s="1"/>
  <c r="P322" i="28"/>
  <c r="Q322" i="28" s="1"/>
  <c r="V109" i="28" s="1"/>
  <c r="P321" i="28"/>
  <c r="Q321" i="28" s="1"/>
  <c r="U109" i="28" s="1"/>
  <c r="P320" i="28"/>
  <c r="Q320" i="28" s="1"/>
  <c r="W108" i="28" s="1"/>
  <c r="P319" i="28"/>
  <c r="Q319" i="28" s="1"/>
  <c r="V108" i="28" s="1"/>
  <c r="P318" i="28"/>
  <c r="Q318" i="28" s="1"/>
  <c r="U108" i="28" s="1"/>
  <c r="P317" i="28"/>
  <c r="Q317" i="28" s="1"/>
  <c r="W107" i="28" s="1"/>
  <c r="P316" i="28"/>
  <c r="Q316" i="28" s="1"/>
  <c r="V107" i="28" s="1"/>
  <c r="P315" i="28"/>
  <c r="Q315" i="28" s="1"/>
  <c r="U107" i="28" s="1"/>
  <c r="P314" i="28"/>
  <c r="Q314" i="28" s="1"/>
  <c r="W106" i="28" s="1"/>
  <c r="P313" i="28"/>
  <c r="Q313" i="28" s="1"/>
  <c r="V106" i="28" s="1"/>
  <c r="P312" i="28"/>
  <c r="Q312" i="28" s="1"/>
  <c r="U106" i="28" s="1"/>
  <c r="P311" i="28"/>
  <c r="Q311" i="28" s="1"/>
  <c r="W105" i="28" s="1"/>
  <c r="P310" i="28"/>
  <c r="Q310" i="28" s="1"/>
  <c r="V105" i="28" s="1"/>
  <c r="P309" i="28"/>
  <c r="Q309" i="28" s="1"/>
  <c r="U105" i="28" s="1"/>
  <c r="P308" i="28"/>
  <c r="Q308" i="28" s="1"/>
  <c r="W104" i="28" s="1"/>
  <c r="P307" i="28"/>
  <c r="Q307" i="28" s="1"/>
  <c r="V104" i="28" s="1"/>
  <c r="P306" i="28"/>
  <c r="Q306" i="28" s="1"/>
  <c r="U104" i="28" s="1"/>
  <c r="P305" i="28"/>
  <c r="Q305" i="28" s="1"/>
  <c r="W103" i="28" s="1"/>
  <c r="P304" i="28"/>
  <c r="Q304" i="28" s="1"/>
  <c r="V103" i="28" s="1"/>
  <c r="P303" i="28"/>
  <c r="Q303" i="28" s="1"/>
  <c r="U103" i="28" s="1"/>
  <c r="P302" i="28"/>
  <c r="Q302" i="28" s="1"/>
  <c r="W102" i="28" s="1"/>
  <c r="P301" i="28"/>
  <c r="Q301" i="28" s="1"/>
  <c r="V102" i="28" s="1"/>
  <c r="P300" i="28"/>
  <c r="Q300" i="28" s="1"/>
  <c r="U102" i="28" s="1"/>
  <c r="P299" i="28"/>
  <c r="Q299" i="28" s="1"/>
  <c r="W101" i="28" s="1"/>
  <c r="P298" i="28"/>
  <c r="Q298" i="28" s="1"/>
  <c r="V101" i="28" s="1"/>
  <c r="P297" i="28"/>
  <c r="Q297" i="28" s="1"/>
  <c r="U101" i="28" s="1"/>
  <c r="P296" i="28"/>
  <c r="Q296" i="28" s="1"/>
  <c r="W100" i="28" s="1"/>
  <c r="P295" i="28"/>
  <c r="Q295" i="28" s="1"/>
  <c r="V100" i="28" s="1"/>
  <c r="P294" i="28"/>
  <c r="Q294" i="28" s="1"/>
  <c r="U100" i="28" s="1"/>
  <c r="P293" i="28"/>
  <c r="Q293" i="28" s="1"/>
  <c r="W99" i="28" s="1"/>
  <c r="P292" i="28"/>
  <c r="Q292" i="28" s="1"/>
  <c r="V99" i="28" s="1"/>
  <c r="P291" i="28"/>
  <c r="Q291" i="28" s="1"/>
  <c r="U99" i="28" s="1"/>
  <c r="P290" i="28"/>
  <c r="Q290" i="28" s="1"/>
  <c r="W98" i="28" s="1"/>
  <c r="P289" i="28"/>
  <c r="Q289" i="28" s="1"/>
  <c r="V98" i="28" s="1"/>
  <c r="P288" i="28"/>
  <c r="Q288" i="28" s="1"/>
  <c r="U98" i="28" s="1"/>
  <c r="P287" i="28"/>
  <c r="Q287" i="28" s="1"/>
  <c r="W97" i="28" s="1"/>
  <c r="P286" i="28"/>
  <c r="Q286" i="28" s="1"/>
  <c r="V97" i="28" s="1"/>
  <c r="P285" i="28"/>
  <c r="Q285" i="28" s="1"/>
  <c r="U97" i="28" s="1"/>
  <c r="P284" i="28"/>
  <c r="Q284" i="28" s="1"/>
  <c r="W96" i="28" s="1"/>
  <c r="P283" i="28"/>
  <c r="Q283" i="28" s="1"/>
  <c r="V96" i="28" s="1"/>
  <c r="P282" i="28"/>
  <c r="Q282" i="28" s="1"/>
  <c r="U96" i="28" s="1"/>
  <c r="P281" i="28"/>
  <c r="Q281" i="28" s="1"/>
  <c r="W95" i="28" s="1"/>
  <c r="P280" i="28"/>
  <c r="Q280" i="28" s="1"/>
  <c r="V95" i="28" s="1"/>
  <c r="P279" i="28"/>
  <c r="Q279" i="28" s="1"/>
  <c r="U95" i="28" s="1"/>
  <c r="P278" i="28"/>
  <c r="Q278" i="28" s="1"/>
  <c r="W94" i="28" s="1"/>
  <c r="P277" i="28"/>
  <c r="Q277" i="28" s="1"/>
  <c r="V94" i="28" s="1"/>
  <c r="P276" i="28"/>
  <c r="Q276" i="28" s="1"/>
  <c r="U94" i="28" s="1"/>
  <c r="P275" i="28"/>
  <c r="Q275" i="28" s="1"/>
  <c r="W93" i="28" s="1"/>
  <c r="P274" i="28"/>
  <c r="Q274" i="28" s="1"/>
  <c r="V93" i="28" s="1"/>
  <c r="P273" i="28"/>
  <c r="Q273" i="28" s="1"/>
  <c r="U93" i="28" s="1"/>
  <c r="P272" i="28"/>
  <c r="Q272" i="28" s="1"/>
  <c r="W92" i="28" s="1"/>
  <c r="P271" i="28"/>
  <c r="Q271" i="28" s="1"/>
  <c r="V92" i="28" s="1"/>
  <c r="P270" i="28"/>
  <c r="Q270" i="28" s="1"/>
  <c r="U92" i="28" s="1"/>
  <c r="P269" i="28"/>
  <c r="Q269" i="28" s="1"/>
  <c r="W91" i="28" s="1"/>
  <c r="P268" i="28"/>
  <c r="Q268" i="28" s="1"/>
  <c r="V91" i="28" s="1"/>
  <c r="P267" i="28"/>
  <c r="Q267" i="28" s="1"/>
  <c r="U91" i="28" s="1"/>
  <c r="P266" i="28"/>
  <c r="Q266" i="28" s="1"/>
  <c r="W90" i="28" s="1"/>
  <c r="P265" i="28"/>
  <c r="Q265" i="28" s="1"/>
  <c r="V90" i="28" s="1"/>
  <c r="P264" i="28"/>
  <c r="Q264" i="28" s="1"/>
  <c r="U90" i="28" s="1"/>
  <c r="P263" i="28"/>
  <c r="Q263" i="28" s="1"/>
  <c r="W89" i="28" s="1"/>
  <c r="P262" i="28"/>
  <c r="Q262" i="28" s="1"/>
  <c r="V89" i="28" s="1"/>
  <c r="P261" i="28"/>
  <c r="Q261" i="28" s="1"/>
  <c r="U89" i="28" s="1"/>
  <c r="P260" i="28"/>
  <c r="Q260" i="28" s="1"/>
  <c r="W88" i="28" s="1"/>
  <c r="P259" i="28"/>
  <c r="Q259" i="28" s="1"/>
  <c r="V88" i="28" s="1"/>
  <c r="P258" i="28"/>
  <c r="Q258" i="28" s="1"/>
  <c r="U88" i="28" s="1"/>
  <c r="P257" i="28"/>
  <c r="Q257" i="28" s="1"/>
  <c r="W87" i="28" s="1"/>
  <c r="P256" i="28"/>
  <c r="Q256" i="28" s="1"/>
  <c r="V87" i="28" s="1"/>
  <c r="P255" i="28"/>
  <c r="Q255" i="28" s="1"/>
  <c r="U87" i="28" s="1"/>
  <c r="P254" i="28"/>
  <c r="Q254" i="28" s="1"/>
  <c r="W86" i="28" s="1"/>
  <c r="P253" i="28"/>
  <c r="Q253" i="28" s="1"/>
  <c r="V86" i="28" s="1"/>
  <c r="P252" i="28"/>
  <c r="Q252" i="28" s="1"/>
  <c r="U86" i="28" s="1"/>
  <c r="P251" i="28"/>
  <c r="Q251" i="28" s="1"/>
  <c r="W85" i="28" s="1"/>
  <c r="P250" i="28"/>
  <c r="Q250" i="28" s="1"/>
  <c r="V85" i="28" s="1"/>
  <c r="P249" i="28"/>
  <c r="Q249" i="28" s="1"/>
  <c r="U85" i="28" s="1"/>
  <c r="P248" i="28"/>
  <c r="Q248" i="28" s="1"/>
  <c r="W84" i="28" s="1"/>
  <c r="P247" i="28"/>
  <c r="Q247" i="28" s="1"/>
  <c r="V84" i="28" s="1"/>
  <c r="P246" i="28"/>
  <c r="Q246" i="28" s="1"/>
  <c r="U84" i="28" s="1"/>
  <c r="P245" i="28"/>
  <c r="Q245" i="28" s="1"/>
  <c r="W83" i="28" s="1"/>
  <c r="P244" i="28"/>
  <c r="Q244" i="28" s="1"/>
  <c r="V83" i="28" s="1"/>
  <c r="P243" i="28"/>
  <c r="Q243" i="28" s="1"/>
  <c r="U83" i="28" s="1"/>
  <c r="P242" i="28"/>
  <c r="Q242" i="28" s="1"/>
  <c r="W82" i="28" s="1"/>
  <c r="P241" i="28"/>
  <c r="Q241" i="28" s="1"/>
  <c r="V82" i="28" s="1"/>
  <c r="P240" i="28"/>
  <c r="Q240" i="28" s="1"/>
  <c r="U82" i="28" s="1"/>
  <c r="P239" i="28"/>
  <c r="Q239" i="28" s="1"/>
  <c r="W81" i="28" s="1"/>
  <c r="P238" i="28"/>
  <c r="Q238" i="28" s="1"/>
  <c r="V81" i="28" s="1"/>
  <c r="P237" i="28"/>
  <c r="Q237" i="28" s="1"/>
  <c r="U81" i="28" s="1"/>
  <c r="P236" i="28"/>
  <c r="Q236" i="28" s="1"/>
  <c r="W80" i="28" s="1"/>
  <c r="P235" i="28"/>
  <c r="Q235" i="28" s="1"/>
  <c r="V80" i="28" s="1"/>
  <c r="P234" i="28"/>
  <c r="Q234" i="28" s="1"/>
  <c r="U80" i="28" s="1"/>
  <c r="P233" i="28"/>
  <c r="Q233" i="28" s="1"/>
  <c r="W79" i="28" s="1"/>
  <c r="P232" i="28"/>
  <c r="Q232" i="28" s="1"/>
  <c r="V79" i="28" s="1"/>
  <c r="P231" i="28"/>
  <c r="Q231" i="28" s="1"/>
  <c r="U79" i="28" s="1"/>
  <c r="P230" i="28"/>
  <c r="Q230" i="28" s="1"/>
  <c r="W78" i="28" s="1"/>
  <c r="P229" i="28"/>
  <c r="Q229" i="28" s="1"/>
  <c r="V78" i="28" s="1"/>
  <c r="P228" i="28"/>
  <c r="Q228" i="28" s="1"/>
  <c r="U78" i="28" s="1"/>
  <c r="P227" i="28"/>
  <c r="Q227" i="28" s="1"/>
  <c r="W77" i="28" s="1"/>
  <c r="P226" i="28"/>
  <c r="Q226" i="28" s="1"/>
  <c r="V77" i="28" s="1"/>
  <c r="P225" i="28"/>
  <c r="Q225" i="28" s="1"/>
  <c r="P224" i="28"/>
  <c r="Q224" i="28" s="1"/>
  <c r="W76" i="28" s="1"/>
  <c r="P223" i="28"/>
  <c r="Q223" i="28" s="1"/>
  <c r="V76" i="28" s="1"/>
  <c r="P222" i="28"/>
  <c r="Q222" i="28" s="1"/>
  <c r="U76" i="28" s="1"/>
  <c r="P221" i="28"/>
  <c r="Q221" i="28" s="1"/>
  <c r="W75" i="28" s="1"/>
  <c r="P220" i="28"/>
  <c r="Q220" i="28" s="1"/>
  <c r="V75" i="28" s="1"/>
  <c r="P219" i="28"/>
  <c r="Q219" i="28" s="1"/>
  <c r="U75" i="28" s="1"/>
  <c r="P218" i="28"/>
  <c r="Q218" i="28" s="1"/>
  <c r="W74" i="28" s="1"/>
  <c r="P217" i="28"/>
  <c r="Q217" i="28" s="1"/>
  <c r="V74" i="28" s="1"/>
  <c r="P216" i="28"/>
  <c r="Q216" i="28" s="1"/>
  <c r="U74" i="28" s="1"/>
  <c r="P215" i="28"/>
  <c r="Q215" i="28" s="1"/>
  <c r="W73" i="28" s="1"/>
  <c r="P214" i="28"/>
  <c r="Q214" i="28" s="1"/>
  <c r="V73" i="28" s="1"/>
  <c r="P213" i="28"/>
  <c r="Q213" i="28" s="1"/>
  <c r="U73" i="28" s="1"/>
  <c r="P212" i="28"/>
  <c r="Q212" i="28" s="1"/>
  <c r="W72" i="28" s="1"/>
  <c r="P211" i="28"/>
  <c r="Q211" i="28" s="1"/>
  <c r="V72" i="28" s="1"/>
  <c r="P210" i="28"/>
  <c r="Q210" i="28" s="1"/>
  <c r="U72" i="28" s="1"/>
  <c r="P209" i="28"/>
  <c r="Q209" i="28" s="1"/>
  <c r="W71" i="28" s="1"/>
  <c r="P208" i="28"/>
  <c r="Q208" i="28" s="1"/>
  <c r="V71" i="28" s="1"/>
  <c r="P207" i="28"/>
  <c r="Q207" i="28" s="1"/>
  <c r="U71" i="28" s="1"/>
  <c r="P206" i="28"/>
  <c r="Q206" i="28" s="1"/>
  <c r="W70" i="28" s="1"/>
  <c r="P205" i="28"/>
  <c r="Q205" i="28" s="1"/>
  <c r="V70" i="28" s="1"/>
  <c r="P204" i="28"/>
  <c r="Q204" i="28" s="1"/>
  <c r="U70" i="28" s="1"/>
  <c r="P203" i="28"/>
  <c r="Q203" i="28" s="1"/>
  <c r="W69" i="28" s="1"/>
  <c r="P202" i="28"/>
  <c r="Q202" i="28" s="1"/>
  <c r="V69" i="28" s="1"/>
  <c r="P201" i="28"/>
  <c r="Q201" i="28" s="1"/>
  <c r="U69" i="28" s="1"/>
  <c r="P200" i="28"/>
  <c r="Q200" i="28" s="1"/>
  <c r="W68" i="28" s="1"/>
  <c r="P199" i="28"/>
  <c r="Q199" i="28" s="1"/>
  <c r="V68" i="28" s="1"/>
  <c r="P198" i="28"/>
  <c r="Q198" i="28" s="1"/>
  <c r="U68" i="28" s="1"/>
  <c r="P197" i="28"/>
  <c r="Q197" i="28" s="1"/>
  <c r="W67" i="28" s="1"/>
  <c r="P196" i="28"/>
  <c r="Q196" i="28" s="1"/>
  <c r="V67" i="28" s="1"/>
  <c r="P195" i="28"/>
  <c r="Q195" i="28" s="1"/>
  <c r="U67" i="28" s="1"/>
  <c r="P194" i="28"/>
  <c r="Q194" i="28" s="1"/>
  <c r="W66" i="28" s="1"/>
  <c r="P193" i="28"/>
  <c r="Q193" i="28" s="1"/>
  <c r="V66" i="28" s="1"/>
  <c r="P192" i="28"/>
  <c r="Q192" i="28" s="1"/>
  <c r="U66" i="28" s="1"/>
  <c r="P191" i="28"/>
  <c r="Q191" i="28" s="1"/>
  <c r="W65" i="28" s="1"/>
  <c r="P190" i="28"/>
  <c r="Q190" i="28" s="1"/>
  <c r="V65" i="28" s="1"/>
  <c r="P189" i="28"/>
  <c r="Q189" i="28" s="1"/>
  <c r="U65" i="28" s="1"/>
  <c r="P188" i="28"/>
  <c r="Q188" i="28" s="1"/>
  <c r="W64" i="28" s="1"/>
  <c r="P187" i="28"/>
  <c r="Q187" i="28" s="1"/>
  <c r="V64" i="28" s="1"/>
  <c r="P186" i="28"/>
  <c r="Q186" i="28" s="1"/>
  <c r="U64" i="28" s="1"/>
  <c r="P185" i="28"/>
  <c r="Q185" i="28" s="1"/>
  <c r="W63" i="28" s="1"/>
  <c r="P184" i="28"/>
  <c r="Q184" i="28" s="1"/>
  <c r="V63" i="28" s="1"/>
  <c r="P183" i="28"/>
  <c r="Q183" i="28" s="1"/>
  <c r="U63" i="28" s="1"/>
  <c r="P182" i="28"/>
  <c r="Q182" i="28" s="1"/>
  <c r="W62" i="28" s="1"/>
  <c r="P181" i="28"/>
  <c r="Q181" i="28" s="1"/>
  <c r="V62" i="28" s="1"/>
  <c r="P180" i="28"/>
  <c r="Q180" i="28" s="1"/>
  <c r="U62" i="28" s="1"/>
  <c r="P179" i="28"/>
  <c r="Q179" i="28" s="1"/>
  <c r="W61" i="28" s="1"/>
  <c r="P178" i="28"/>
  <c r="Q178" i="28" s="1"/>
  <c r="V61" i="28" s="1"/>
  <c r="P177" i="28"/>
  <c r="Q177" i="28" s="1"/>
  <c r="U61" i="28" s="1"/>
  <c r="P176" i="28"/>
  <c r="Q176" i="28" s="1"/>
  <c r="W60" i="28" s="1"/>
  <c r="P175" i="28"/>
  <c r="Q175" i="28" s="1"/>
  <c r="V60" i="28" s="1"/>
  <c r="P174" i="28"/>
  <c r="Q174" i="28" s="1"/>
  <c r="P173" i="28"/>
  <c r="Q173" i="28" s="1"/>
  <c r="W59" i="28" s="1"/>
  <c r="P172" i="28"/>
  <c r="Q172" i="28" s="1"/>
  <c r="V59" i="28" s="1"/>
  <c r="P171" i="28"/>
  <c r="Q171" i="28" s="1"/>
  <c r="U59" i="28" s="1"/>
  <c r="P170" i="28"/>
  <c r="Q170" i="28" s="1"/>
  <c r="W58" i="28" s="1"/>
  <c r="P169" i="28"/>
  <c r="Q169" i="28" s="1"/>
  <c r="V58" i="28" s="1"/>
  <c r="P168" i="28"/>
  <c r="Q168" i="28" s="1"/>
  <c r="U58" i="28" s="1"/>
  <c r="P167" i="28"/>
  <c r="Q167" i="28" s="1"/>
  <c r="W57" i="28" s="1"/>
  <c r="P166" i="28"/>
  <c r="Q166" i="28" s="1"/>
  <c r="V57" i="28" s="1"/>
  <c r="P165" i="28"/>
  <c r="Q165" i="28" s="1"/>
  <c r="U57" i="28" s="1"/>
  <c r="P164" i="28"/>
  <c r="Q164" i="28" s="1"/>
  <c r="W56" i="28" s="1"/>
  <c r="P163" i="28"/>
  <c r="Q163" i="28" s="1"/>
  <c r="V56" i="28" s="1"/>
  <c r="P162" i="28"/>
  <c r="Q162" i="28" s="1"/>
  <c r="U56" i="28" s="1"/>
  <c r="P161" i="28"/>
  <c r="Q161" i="28" s="1"/>
  <c r="W55" i="28" s="1"/>
  <c r="P160" i="28"/>
  <c r="Q160" i="28" s="1"/>
  <c r="V55" i="28" s="1"/>
  <c r="P159" i="28"/>
  <c r="Q159" i="28" s="1"/>
  <c r="U55" i="28" s="1"/>
  <c r="P158" i="28"/>
  <c r="Q158" i="28" s="1"/>
  <c r="W54" i="28" s="1"/>
  <c r="P157" i="28"/>
  <c r="Q157" i="28" s="1"/>
  <c r="V54" i="28" s="1"/>
  <c r="P156" i="28"/>
  <c r="Q156" i="28" s="1"/>
  <c r="U54" i="28" s="1"/>
  <c r="P155" i="28"/>
  <c r="Q155" i="28" s="1"/>
  <c r="W53" i="28" s="1"/>
  <c r="P154" i="28"/>
  <c r="Q154" i="28" s="1"/>
  <c r="V53" i="28" s="1"/>
  <c r="P153" i="28"/>
  <c r="Q153" i="28" s="1"/>
  <c r="U53" i="28" s="1"/>
  <c r="P152" i="28"/>
  <c r="Q152" i="28" s="1"/>
  <c r="W52" i="28" s="1"/>
  <c r="P151" i="28"/>
  <c r="Q151" i="28" s="1"/>
  <c r="V52" i="28" s="1"/>
  <c r="P150" i="28"/>
  <c r="Q150" i="28" s="1"/>
  <c r="U52" i="28" s="1"/>
  <c r="P149" i="28"/>
  <c r="Q149" i="28" s="1"/>
  <c r="W51" i="28" s="1"/>
  <c r="P148" i="28"/>
  <c r="Q148" i="28" s="1"/>
  <c r="V51" i="28" s="1"/>
  <c r="P147" i="28"/>
  <c r="Q147" i="28" s="1"/>
  <c r="U51" i="28" s="1"/>
  <c r="P146" i="28"/>
  <c r="Q146" i="28" s="1"/>
  <c r="W50" i="28" s="1"/>
  <c r="P145" i="28"/>
  <c r="Q145" i="28" s="1"/>
  <c r="V50" i="28" s="1"/>
  <c r="P144" i="28"/>
  <c r="Q144" i="28" s="1"/>
  <c r="U50" i="28" s="1"/>
  <c r="P143" i="28"/>
  <c r="Q143" i="28" s="1"/>
  <c r="W49" i="28" s="1"/>
  <c r="P142" i="28"/>
  <c r="Q142" i="28" s="1"/>
  <c r="V49" i="28" s="1"/>
  <c r="P141" i="28"/>
  <c r="Q141" i="28" s="1"/>
  <c r="U49" i="28" s="1"/>
  <c r="P140" i="28"/>
  <c r="Q140" i="28" s="1"/>
  <c r="W48" i="28" s="1"/>
  <c r="P139" i="28"/>
  <c r="Q139" i="28" s="1"/>
  <c r="V48" i="28" s="1"/>
  <c r="P138" i="28"/>
  <c r="Q138" i="28" s="1"/>
  <c r="U48" i="28" s="1"/>
  <c r="P137" i="28"/>
  <c r="Q137" i="28" s="1"/>
  <c r="W47" i="28" s="1"/>
  <c r="P136" i="28"/>
  <c r="Q136" i="28" s="1"/>
  <c r="V47" i="28" s="1"/>
  <c r="P135" i="28"/>
  <c r="Q135" i="28" s="1"/>
  <c r="U47" i="28" s="1"/>
  <c r="P134" i="28"/>
  <c r="Q134" i="28" s="1"/>
  <c r="W46" i="28" s="1"/>
  <c r="P133" i="28"/>
  <c r="Q133" i="28" s="1"/>
  <c r="V46" i="28" s="1"/>
  <c r="P132" i="28"/>
  <c r="Q132" i="28" s="1"/>
  <c r="U46" i="28" s="1"/>
  <c r="P131" i="28"/>
  <c r="Q131" i="28" s="1"/>
  <c r="W45" i="28" s="1"/>
  <c r="P130" i="28"/>
  <c r="Q130" i="28" s="1"/>
  <c r="V45" i="28" s="1"/>
  <c r="P129" i="28"/>
  <c r="Q129" i="28" s="1"/>
  <c r="U45" i="28" s="1"/>
  <c r="P128" i="28"/>
  <c r="Q128" i="28" s="1"/>
  <c r="W44" i="28" s="1"/>
  <c r="P127" i="28"/>
  <c r="Q127" i="28" s="1"/>
  <c r="V44" i="28" s="1"/>
  <c r="P126" i="28"/>
  <c r="Q126" i="28" s="1"/>
  <c r="U44" i="28" s="1"/>
  <c r="P125" i="28"/>
  <c r="Q125" i="28" s="1"/>
  <c r="W43" i="28" s="1"/>
  <c r="P124" i="28"/>
  <c r="Q124" i="28" s="1"/>
  <c r="V43" i="28" s="1"/>
  <c r="P123" i="28"/>
  <c r="Q123" i="28" s="1"/>
  <c r="U43" i="28" s="1"/>
  <c r="AC122" i="28"/>
  <c r="AB122" i="28"/>
  <c r="AA122" i="28"/>
  <c r="P122" i="28"/>
  <c r="Q122" i="28" s="1"/>
  <c r="W42" i="28" s="1"/>
  <c r="AC121" i="28"/>
  <c r="AB121" i="28"/>
  <c r="AA121" i="28"/>
  <c r="P121" i="28"/>
  <c r="Q121" i="28" s="1"/>
  <c r="V42" i="28" s="1"/>
  <c r="AC120" i="28"/>
  <c r="AB120" i="28"/>
  <c r="AA120" i="28"/>
  <c r="P120" i="28"/>
  <c r="Q120" i="28" s="1"/>
  <c r="U42" i="28" s="1"/>
  <c r="AC119" i="28"/>
  <c r="AB119" i="28"/>
  <c r="AA119" i="28"/>
  <c r="P119" i="28"/>
  <c r="Q119" i="28" s="1"/>
  <c r="W41" i="28" s="1"/>
  <c r="AC118" i="28"/>
  <c r="AB118" i="28"/>
  <c r="AA118" i="28"/>
  <c r="P118" i="28"/>
  <c r="Q118" i="28" s="1"/>
  <c r="V41" i="28" s="1"/>
  <c r="AC117" i="28"/>
  <c r="AB117" i="28"/>
  <c r="AA117" i="28"/>
  <c r="P117" i="28"/>
  <c r="Q117" i="28" s="1"/>
  <c r="U41" i="28" s="1"/>
  <c r="AC116" i="28"/>
  <c r="AB116" i="28"/>
  <c r="AA116" i="28"/>
  <c r="P116" i="28"/>
  <c r="Q116" i="28" s="1"/>
  <c r="W40" i="28" s="1"/>
  <c r="AC115" i="28"/>
  <c r="AB115" i="28"/>
  <c r="AA115" i="28"/>
  <c r="P115" i="28"/>
  <c r="Q115" i="28" s="1"/>
  <c r="V40" i="28" s="1"/>
  <c r="AC114" i="28"/>
  <c r="AB114" i="28"/>
  <c r="AA114" i="28"/>
  <c r="P114" i="28"/>
  <c r="Q114" i="28" s="1"/>
  <c r="U40" i="28" s="1"/>
  <c r="AC113" i="28"/>
  <c r="AB113" i="28"/>
  <c r="AA113" i="28"/>
  <c r="P113" i="28"/>
  <c r="Q113" i="28" s="1"/>
  <c r="W39" i="28" s="1"/>
  <c r="AC112" i="28"/>
  <c r="AB112" i="28"/>
  <c r="AA112" i="28"/>
  <c r="P112" i="28"/>
  <c r="Q112" i="28" s="1"/>
  <c r="V39" i="28" s="1"/>
  <c r="AC111" i="28"/>
  <c r="AB111" i="28"/>
  <c r="AA111" i="28"/>
  <c r="P111" i="28"/>
  <c r="Q111" i="28" s="1"/>
  <c r="U39" i="28" s="1"/>
  <c r="AC110" i="28"/>
  <c r="AB110" i="28"/>
  <c r="AA110" i="28"/>
  <c r="P110" i="28"/>
  <c r="Q110" i="28" s="1"/>
  <c r="W38" i="28" s="1"/>
  <c r="AC109" i="28"/>
  <c r="AB109" i="28"/>
  <c r="AA109" i="28"/>
  <c r="P109" i="28"/>
  <c r="Q109" i="28" s="1"/>
  <c r="V38" i="28" s="1"/>
  <c r="AC108" i="28"/>
  <c r="AB108" i="28"/>
  <c r="AA108" i="28"/>
  <c r="P108" i="28"/>
  <c r="Q108" i="28" s="1"/>
  <c r="U38" i="28" s="1"/>
  <c r="AC107" i="28"/>
  <c r="AB107" i="28"/>
  <c r="AA107" i="28"/>
  <c r="P107" i="28"/>
  <c r="Q107" i="28" s="1"/>
  <c r="W37" i="28" s="1"/>
  <c r="AC106" i="28"/>
  <c r="AB106" i="28"/>
  <c r="AA106" i="28"/>
  <c r="P106" i="28"/>
  <c r="Q106" i="28" s="1"/>
  <c r="V37" i="28" s="1"/>
  <c r="AC105" i="28"/>
  <c r="AB105" i="28"/>
  <c r="AA105" i="28"/>
  <c r="P105" i="28"/>
  <c r="Q105" i="28" s="1"/>
  <c r="U37" i="28" s="1"/>
  <c r="AC104" i="28"/>
  <c r="AB104" i="28"/>
  <c r="AA104" i="28"/>
  <c r="P104" i="28"/>
  <c r="Q104" i="28" s="1"/>
  <c r="W36" i="28" s="1"/>
  <c r="AC103" i="28"/>
  <c r="AB103" i="28"/>
  <c r="AA103" i="28"/>
  <c r="P103" i="28"/>
  <c r="Q103" i="28" s="1"/>
  <c r="V36" i="28" s="1"/>
  <c r="AC102" i="28"/>
  <c r="AB102" i="28"/>
  <c r="AA102" i="28"/>
  <c r="P102" i="28"/>
  <c r="Q102" i="28" s="1"/>
  <c r="U36" i="28" s="1"/>
  <c r="AC101" i="28"/>
  <c r="AB101" i="28"/>
  <c r="AA101" i="28"/>
  <c r="P101" i="28"/>
  <c r="Q101" i="28" s="1"/>
  <c r="W35" i="28" s="1"/>
  <c r="AC100" i="28"/>
  <c r="AB100" i="28"/>
  <c r="AA100" i="28"/>
  <c r="P100" i="28"/>
  <c r="Q100" i="28" s="1"/>
  <c r="V35" i="28" s="1"/>
  <c r="AC99" i="28"/>
  <c r="AB99" i="28"/>
  <c r="AA99" i="28"/>
  <c r="P99" i="28"/>
  <c r="Q99" i="28" s="1"/>
  <c r="U35" i="28" s="1"/>
  <c r="AC98" i="28"/>
  <c r="AB98" i="28"/>
  <c r="AA98" i="28"/>
  <c r="P98" i="28"/>
  <c r="Q98" i="28" s="1"/>
  <c r="W34" i="28" s="1"/>
  <c r="AC97" i="28"/>
  <c r="AB97" i="28"/>
  <c r="AA97" i="28"/>
  <c r="P97" i="28"/>
  <c r="Q97" i="28" s="1"/>
  <c r="V34" i="28" s="1"/>
  <c r="AC96" i="28"/>
  <c r="AB96" i="28"/>
  <c r="AA96" i="28"/>
  <c r="P96" i="28"/>
  <c r="Q96" i="28" s="1"/>
  <c r="U34" i="28" s="1"/>
  <c r="AC95" i="28"/>
  <c r="AB95" i="28"/>
  <c r="AA95" i="28"/>
  <c r="P95" i="28"/>
  <c r="Q95" i="28" s="1"/>
  <c r="W33" i="28" s="1"/>
  <c r="AC94" i="28"/>
  <c r="AB94" i="28"/>
  <c r="AA94" i="28"/>
  <c r="P94" i="28"/>
  <c r="Q94" i="28" s="1"/>
  <c r="V33" i="28" s="1"/>
  <c r="AC93" i="28"/>
  <c r="AB93" i="28"/>
  <c r="AA93" i="28"/>
  <c r="P93" i="28"/>
  <c r="Q93" i="28" s="1"/>
  <c r="U33" i="28" s="1"/>
  <c r="AC92" i="28"/>
  <c r="AB92" i="28"/>
  <c r="AA92" i="28"/>
  <c r="P92" i="28"/>
  <c r="Q92" i="28" s="1"/>
  <c r="W32" i="28" s="1"/>
  <c r="AC91" i="28"/>
  <c r="AB91" i="28"/>
  <c r="AA91" i="28"/>
  <c r="P91" i="28"/>
  <c r="Q91" i="28" s="1"/>
  <c r="V32" i="28" s="1"/>
  <c r="AC90" i="28"/>
  <c r="AB90" i="28"/>
  <c r="AA90" i="28"/>
  <c r="P90" i="28"/>
  <c r="Q90" i="28" s="1"/>
  <c r="U32" i="28" s="1"/>
  <c r="AC89" i="28"/>
  <c r="AB89" i="28"/>
  <c r="AA89" i="28"/>
  <c r="P89" i="28"/>
  <c r="Q89" i="28" s="1"/>
  <c r="W31" i="28" s="1"/>
  <c r="AC88" i="28"/>
  <c r="AB88" i="28"/>
  <c r="AA88" i="28"/>
  <c r="P88" i="28"/>
  <c r="Q88" i="28" s="1"/>
  <c r="V31" i="28" s="1"/>
  <c r="AC87" i="28"/>
  <c r="AB87" i="28"/>
  <c r="AA87" i="28"/>
  <c r="P87" i="28"/>
  <c r="Q87" i="28" s="1"/>
  <c r="U31" i="28" s="1"/>
  <c r="AC86" i="28"/>
  <c r="AB86" i="28"/>
  <c r="AA86" i="28"/>
  <c r="P86" i="28"/>
  <c r="Q86" i="28" s="1"/>
  <c r="W30" i="28" s="1"/>
  <c r="AC85" i="28"/>
  <c r="AB85" i="28"/>
  <c r="AA85" i="28"/>
  <c r="P85" i="28"/>
  <c r="Q85" i="28" s="1"/>
  <c r="V30" i="28" s="1"/>
  <c r="AC84" i="28"/>
  <c r="AB84" i="28"/>
  <c r="AA84" i="28"/>
  <c r="P84" i="28"/>
  <c r="Q84" i="28" s="1"/>
  <c r="U30" i="28" s="1"/>
  <c r="AC83" i="28"/>
  <c r="AB83" i="28"/>
  <c r="AA83" i="28"/>
  <c r="P83" i="28"/>
  <c r="Q83" i="28" s="1"/>
  <c r="W29" i="28" s="1"/>
  <c r="AC82" i="28"/>
  <c r="AB82" i="28"/>
  <c r="AA82" i="28"/>
  <c r="P82" i="28"/>
  <c r="Q82" i="28" s="1"/>
  <c r="V29" i="28" s="1"/>
  <c r="AC81" i="28"/>
  <c r="AB81" i="28"/>
  <c r="AA81" i="28"/>
  <c r="P81" i="28"/>
  <c r="Q81" i="28" s="1"/>
  <c r="U29" i="28" s="1"/>
  <c r="AC80" i="28"/>
  <c r="AB80" i="28"/>
  <c r="AA80" i="28"/>
  <c r="P80" i="28"/>
  <c r="Q80" i="28" s="1"/>
  <c r="W28" i="28" s="1"/>
  <c r="AC79" i="28"/>
  <c r="AB79" i="28"/>
  <c r="AA79" i="28"/>
  <c r="P79" i="28"/>
  <c r="Q79" i="28" s="1"/>
  <c r="V28" i="28" s="1"/>
  <c r="AC78" i="28"/>
  <c r="AB78" i="28"/>
  <c r="AA78" i="28"/>
  <c r="P78" i="28"/>
  <c r="Q78" i="28" s="1"/>
  <c r="U28" i="28" s="1"/>
  <c r="AC77" i="28"/>
  <c r="AB77" i="28"/>
  <c r="AA77" i="28"/>
  <c r="U77" i="28"/>
  <c r="P77" i="28"/>
  <c r="Q77" i="28" s="1"/>
  <c r="W27" i="28" s="1"/>
  <c r="AC76" i="28"/>
  <c r="AB76" i="28"/>
  <c r="AA76" i="28"/>
  <c r="P76" i="28"/>
  <c r="Q76" i="28" s="1"/>
  <c r="V27" i="28" s="1"/>
  <c r="AC75" i="28"/>
  <c r="AB75" i="28"/>
  <c r="AA75" i="28"/>
  <c r="P75" i="28"/>
  <c r="Q75" i="28" s="1"/>
  <c r="U27" i="28" s="1"/>
  <c r="AC74" i="28"/>
  <c r="AB74" i="28"/>
  <c r="AA74" i="28"/>
  <c r="P74" i="28"/>
  <c r="Q74" i="28" s="1"/>
  <c r="W26" i="28" s="1"/>
  <c r="AC73" i="28"/>
  <c r="AB73" i="28"/>
  <c r="AA73" i="28"/>
  <c r="P73" i="28"/>
  <c r="Q73" i="28" s="1"/>
  <c r="V26" i="28" s="1"/>
  <c r="AC72" i="28"/>
  <c r="AB72" i="28"/>
  <c r="AA72" i="28"/>
  <c r="P72" i="28"/>
  <c r="Q72" i="28" s="1"/>
  <c r="U26" i="28" s="1"/>
  <c r="AC71" i="28"/>
  <c r="AB71" i="28"/>
  <c r="AA71" i="28"/>
  <c r="P71" i="28"/>
  <c r="Q71" i="28" s="1"/>
  <c r="W25" i="28" s="1"/>
  <c r="AC70" i="28"/>
  <c r="AB70" i="28"/>
  <c r="AA70" i="28"/>
  <c r="P70" i="28"/>
  <c r="Q70" i="28" s="1"/>
  <c r="V25" i="28" s="1"/>
  <c r="AC69" i="28"/>
  <c r="AB69" i="28"/>
  <c r="AA69" i="28"/>
  <c r="P69" i="28"/>
  <c r="Q69" i="28" s="1"/>
  <c r="U25" i="28" s="1"/>
  <c r="AC68" i="28"/>
  <c r="AB68" i="28"/>
  <c r="AA68" i="28"/>
  <c r="P68" i="28"/>
  <c r="Q68" i="28" s="1"/>
  <c r="W24" i="28" s="1"/>
  <c r="AC67" i="28"/>
  <c r="AB67" i="28"/>
  <c r="AA67" i="28"/>
  <c r="P67" i="28"/>
  <c r="Q67" i="28" s="1"/>
  <c r="V24" i="28" s="1"/>
  <c r="AC66" i="28"/>
  <c r="AB66" i="28"/>
  <c r="AA66" i="28"/>
  <c r="P66" i="28"/>
  <c r="Q66" i="28" s="1"/>
  <c r="U24" i="28" s="1"/>
  <c r="AC65" i="28"/>
  <c r="AB65" i="28"/>
  <c r="AA65" i="28"/>
  <c r="P65" i="28"/>
  <c r="Q65" i="28" s="1"/>
  <c r="W23" i="28" s="1"/>
  <c r="AC64" i="28"/>
  <c r="AB64" i="28"/>
  <c r="AA64" i="28"/>
  <c r="P64" i="28"/>
  <c r="Q64" i="28" s="1"/>
  <c r="V23" i="28" s="1"/>
  <c r="AC63" i="28"/>
  <c r="AB63" i="28"/>
  <c r="AA63" i="28"/>
  <c r="P63" i="28"/>
  <c r="Q63" i="28" s="1"/>
  <c r="U23" i="28" s="1"/>
  <c r="AC62" i="28"/>
  <c r="AB62" i="28"/>
  <c r="AA62" i="28"/>
  <c r="P62" i="28"/>
  <c r="Q62" i="28" s="1"/>
  <c r="W22" i="28" s="1"/>
  <c r="AC61" i="28"/>
  <c r="AB61" i="28"/>
  <c r="AA61" i="28"/>
  <c r="P61" i="28"/>
  <c r="Q61" i="28" s="1"/>
  <c r="V22" i="28" s="1"/>
  <c r="AC60" i="28"/>
  <c r="AB60" i="28"/>
  <c r="AA60" i="28"/>
  <c r="U60" i="28"/>
  <c r="P60" i="28"/>
  <c r="Q60" i="28" s="1"/>
  <c r="U22" i="28" s="1"/>
  <c r="AC59" i="28"/>
  <c r="AB59" i="28"/>
  <c r="AA59" i="28"/>
  <c r="P59" i="28"/>
  <c r="Q59" i="28" s="1"/>
  <c r="W21" i="28" s="1"/>
  <c r="AC58" i="28"/>
  <c r="AB58" i="28"/>
  <c r="AA58" i="28"/>
  <c r="P58" i="28"/>
  <c r="Q58" i="28" s="1"/>
  <c r="V21" i="28" s="1"/>
  <c r="AC57" i="28"/>
  <c r="AB57" i="28"/>
  <c r="AA57" i="28"/>
  <c r="P57" i="28"/>
  <c r="Q57" i="28" s="1"/>
  <c r="U21" i="28" s="1"/>
  <c r="AC56" i="28"/>
  <c r="AB56" i="28"/>
  <c r="AA56" i="28"/>
  <c r="P56" i="28"/>
  <c r="Q56" i="28" s="1"/>
  <c r="W20" i="28" s="1"/>
  <c r="AC55" i="28"/>
  <c r="AB55" i="28"/>
  <c r="AA55" i="28"/>
  <c r="P55" i="28"/>
  <c r="Q55" i="28" s="1"/>
  <c r="V20" i="28" s="1"/>
  <c r="AC54" i="28"/>
  <c r="AB54" i="28"/>
  <c r="AA54" i="28"/>
  <c r="P54" i="28"/>
  <c r="Q54" i="28" s="1"/>
  <c r="U20" i="28" s="1"/>
  <c r="AC53" i="28"/>
  <c r="AB53" i="28"/>
  <c r="AA53" i="28"/>
  <c r="P53" i="28"/>
  <c r="Q53" i="28" s="1"/>
  <c r="W19" i="28" s="1"/>
  <c r="AC52" i="28"/>
  <c r="AB52" i="28"/>
  <c r="AA52" i="28"/>
  <c r="P52" i="28"/>
  <c r="Q52" i="28" s="1"/>
  <c r="V19" i="28" s="1"/>
  <c r="AC51" i="28"/>
  <c r="AB51" i="28"/>
  <c r="AA51" i="28"/>
  <c r="P51" i="28"/>
  <c r="Q51" i="28" s="1"/>
  <c r="U19" i="28" s="1"/>
  <c r="AC50" i="28"/>
  <c r="AB50" i="28"/>
  <c r="AA50" i="28"/>
  <c r="P50" i="28"/>
  <c r="Q50" i="28" s="1"/>
  <c r="W18" i="28" s="1"/>
  <c r="AC49" i="28"/>
  <c r="AB49" i="28"/>
  <c r="AA49" i="28"/>
  <c r="P49" i="28"/>
  <c r="Q49" i="28" s="1"/>
  <c r="V18" i="28" s="1"/>
  <c r="AC48" i="28"/>
  <c r="AB48" i="28"/>
  <c r="AA48" i="28"/>
  <c r="P48" i="28"/>
  <c r="Q48" i="28" s="1"/>
  <c r="U18" i="28" s="1"/>
  <c r="AC47" i="28"/>
  <c r="AB47" i="28"/>
  <c r="AA47" i="28"/>
  <c r="P47" i="28"/>
  <c r="Q47" i="28" s="1"/>
  <c r="W17" i="28" s="1"/>
  <c r="AC46" i="28"/>
  <c r="AB46" i="28"/>
  <c r="AA46" i="28"/>
  <c r="P46" i="28"/>
  <c r="Q46" i="28" s="1"/>
  <c r="V17" i="28" s="1"/>
  <c r="AC45" i="28"/>
  <c r="AB45" i="28"/>
  <c r="AA45" i="28"/>
  <c r="P45" i="28"/>
  <c r="Q45" i="28" s="1"/>
  <c r="U17" i="28" s="1"/>
  <c r="AC44" i="28"/>
  <c r="AB44" i="28"/>
  <c r="AA44" i="28"/>
  <c r="P44" i="28"/>
  <c r="Q44" i="28" s="1"/>
  <c r="W16" i="28" s="1"/>
  <c r="AC43" i="28"/>
  <c r="AB43" i="28"/>
  <c r="AA43" i="28"/>
  <c r="P43" i="28"/>
  <c r="Q43" i="28" s="1"/>
  <c r="V16" i="28" s="1"/>
  <c r="AC42" i="28"/>
  <c r="AB42" i="28"/>
  <c r="AA42" i="28"/>
  <c r="P42" i="28"/>
  <c r="Q42" i="28" s="1"/>
  <c r="U16" i="28" s="1"/>
  <c r="AC41" i="28"/>
  <c r="AB41" i="28"/>
  <c r="AA41" i="28"/>
  <c r="P41" i="28"/>
  <c r="Q41" i="28" s="1"/>
  <c r="W15" i="28" s="1"/>
  <c r="AC40" i="28"/>
  <c r="AB40" i="28"/>
  <c r="AA40" i="28"/>
  <c r="P40" i="28"/>
  <c r="Q40" i="28" s="1"/>
  <c r="V15" i="28" s="1"/>
  <c r="AC39" i="28"/>
  <c r="AB39" i="28"/>
  <c r="AA39" i="28"/>
  <c r="P39" i="28"/>
  <c r="Q39" i="28" s="1"/>
  <c r="U15" i="28" s="1"/>
  <c r="AC38" i="28"/>
  <c r="AB38" i="28"/>
  <c r="AA38" i="28"/>
  <c r="P38" i="28"/>
  <c r="Q38" i="28" s="1"/>
  <c r="W14" i="28" s="1"/>
  <c r="AC37" i="28"/>
  <c r="AB37" i="28"/>
  <c r="AA37" i="28"/>
  <c r="P37" i="28"/>
  <c r="Q37" i="28" s="1"/>
  <c r="V14" i="28" s="1"/>
  <c r="AC36" i="28"/>
  <c r="AB36" i="28"/>
  <c r="AA36" i="28"/>
  <c r="P36" i="28"/>
  <c r="Q36" i="28" s="1"/>
  <c r="U14" i="28" s="1"/>
  <c r="AC35" i="28"/>
  <c r="AB35" i="28"/>
  <c r="AA35" i="28"/>
  <c r="P35" i="28"/>
  <c r="Q35" i="28" s="1"/>
  <c r="W13" i="28" s="1"/>
  <c r="AC34" i="28"/>
  <c r="AB34" i="28"/>
  <c r="AA34" i="28"/>
  <c r="P34" i="28"/>
  <c r="Q34" i="28" s="1"/>
  <c r="V13" i="28" s="1"/>
  <c r="AC33" i="28"/>
  <c r="AB33" i="28"/>
  <c r="AA33" i="28"/>
  <c r="P33" i="28"/>
  <c r="Q33" i="28" s="1"/>
  <c r="U13" i="28" s="1"/>
  <c r="AC32" i="28"/>
  <c r="AB32" i="28"/>
  <c r="AA32" i="28"/>
  <c r="P32" i="28"/>
  <c r="Q32" i="28" s="1"/>
  <c r="W12" i="28" s="1"/>
  <c r="AC31" i="28"/>
  <c r="AB31" i="28"/>
  <c r="AA31" i="28"/>
  <c r="P31" i="28"/>
  <c r="Q31" i="28" s="1"/>
  <c r="V12" i="28" s="1"/>
  <c r="AC30" i="28"/>
  <c r="AB30" i="28"/>
  <c r="AA30" i="28"/>
  <c r="P30" i="28"/>
  <c r="Q30" i="28" s="1"/>
  <c r="U12" i="28" s="1"/>
  <c r="AC29" i="28"/>
  <c r="AB29" i="28"/>
  <c r="AA29" i="28"/>
  <c r="P29" i="28"/>
  <c r="Q29" i="28" s="1"/>
  <c r="W11" i="28" s="1"/>
  <c r="AC28" i="28"/>
  <c r="AB28" i="28"/>
  <c r="AA28" i="28"/>
  <c r="P28" i="28"/>
  <c r="Q28" i="28" s="1"/>
  <c r="V11" i="28" s="1"/>
  <c r="AC27" i="28"/>
  <c r="AB27" i="28"/>
  <c r="AA27" i="28"/>
  <c r="P27" i="28"/>
  <c r="Q27" i="28" s="1"/>
  <c r="U11" i="28" s="1"/>
  <c r="AC26" i="28"/>
  <c r="AB26" i="28"/>
  <c r="AA26" i="28"/>
  <c r="P26" i="28"/>
  <c r="Q26" i="28" s="1"/>
  <c r="W10" i="28" s="1"/>
  <c r="AC25" i="28"/>
  <c r="AB25" i="28"/>
  <c r="AA25" i="28"/>
  <c r="P25" i="28"/>
  <c r="Q25" i="28" s="1"/>
  <c r="V10" i="28" s="1"/>
  <c r="AC24" i="28"/>
  <c r="AB24" i="28"/>
  <c r="AA24" i="28"/>
  <c r="P24" i="28"/>
  <c r="Q24" i="28" s="1"/>
  <c r="U10" i="28" s="1"/>
  <c r="AC23" i="28"/>
  <c r="AB23" i="28"/>
  <c r="AA23" i="28"/>
  <c r="P23" i="28"/>
  <c r="Q23" i="28" s="1"/>
  <c r="W9" i="28" s="1"/>
  <c r="AC22" i="28"/>
  <c r="AB22" i="28"/>
  <c r="AA22" i="28"/>
  <c r="P22" i="28"/>
  <c r="Q22" i="28" s="1"/>
  <c r="V9" i="28" s="1"/>
  <c r="AC21" i="28"/>
  <c r="AB21" i="28"/>
  <c r="AA21" i="28"/>
  <c r="P21" i="28"/>
  <c r="Q21" i="28" s="1"/>
  <c r="U9" i="28" s="1"/>
  <c r="AC20" i="28"/>
  <c r="AB20" i="28"/>
  <c r="AA20" i="28"/>
  <c r="P20" i="28"/>
  <c r="Q20" i="28" s="1"/>
  <c r="W8" i="28" s="1"/>
  <c r="AC19" i="28"/>
  <c r="AB19" i="28"/>
  <c r="AA19" i="28"/>
  <c r="P19" i="28"/>
  <c r="Q19" i="28" s="1"/>
  <c r="V8" i="28" s="1"/>
  <c r="AC18" i="28"/>
  <c r="AB18" i="28"/>
  <c r="AA18" i="28"/>
  <c r="P18" i="28"/>
  <c r="Q18" i="28" s="1"/>
  <c r="U8" i="28" s="1"/>
  <c r="AC17" i="28"/>
  <c r="AB17" i="28"/>
  <c r="AA17" i="28"/>
  <c r="P17" i="28"/>
  <c r="Q17" i="28" s="1"/>
  <c r="W7" i="28" s="1"/>
  <c r="AC16" i="28"/>
  <c r="AB16" i="28"/>
  <c r="AA16" i="28"/>
  <c r="P16" i="28"/>
  <c r="Q16" i="28" s="1"/>
  <c r="V7" i="28" s="1"/>
  <c r="AC15" i="28"/>
  <c r="AB15" i="28"/>
  <c r="AA15" i="28"/>
  <c r="P15" i="28"/>
  <c r="Q15" i="28" s="1"/>
  <c r="U7" i="28" s="1"/>
  <c r="AC14" i="28"/>
  <c r="AB14" i="28"/>
  <c r="AA14" i="28"/>
  <c r="P14" i="28"/>
  <c r="Q14" i="28" s="1"/>
  <c r="W6" i="28" s="1"/>
  <c r="AC13" i="28"/>
  <c r="AB13" i="28"/>
  <c r="AA13" i="28"/>
  <c r="P13" i="28"/>
  <c r="Q13" i="28" s="1"/>
  <c r="V6" i="28" s="1"/>
  <c r="AC12" i="28"/>
  <c r="AB12" i="28"/>
  <c r="AA12" i="28"/>
  <c r="P12" i="28"/>
  <c r="Q12" i="28" s="1"/>
  <c r="U6" i="28" s="1"/>
  <c r="AC11" i="28"/>
  <c r="AB11" i="28"/>
  <c r="AA11" i="28"/>
  <c r="P11" i="28"/>
  <c r="Q11" i="28" s="1"/>
  <c r="W5" i="28" s="1"/>
  <c r="AC10" i="28"/>
  <c r="AB10" i="28"/>
  <c r="AA10" i="28"/>
  <c r="P10" i="28"/>
  <c r="Q10" i="28" s="1"/>
  <c r="V5" i="28" s="1"/>
  <c r="AC9" i="28"/>
  <c r="AB9" i="28"/>
  <c r="AA9" i="28"/>
  <c r="P9" i="28"/>
  <c r="Q9" i="28" s="1"/>
  <c r="U5" i="28" s="1"/>
  <c r="AC8" i="28"/>
  <c r="AB8" i="28"/>
  <c r="AA8" i="28"/>
  <c r="P8" i="28"/>
  <c r="Q8" i="28" s="1"/>
  <c r="W4" i="28" s="1"/>
  <c r="AC7" i="28"/>
  <c r="AB7" i="28"/>
  <c r="AA7" i="28"/>
  <c r="P7" i="28"/>
  <c r="Q7" i="28" s="1"/>
  <c r="V4" i="28" s="1"/>
  <c r="AC6" i="28"/>
  <c r="AB6" i="28"/>
  <c r="AA6" i="28"/>
  <c r="P6" i="28"/>
  <c r="Q6" i="28" s="1"/>
  <c r="U4" i="28" s="1"/>
  <c r="AC5" i="28"/>
  <c r="AB5" i="28"/>
  <c r="AA5" i="28"/>
  <c r="P5" i="28"/>
  <c r="Q5" i="28" s="1"/>
  <c r="W3" i="28" s="1"/>
  <c r="AC4" i="28"/>
  <c r="AB4" i="28"/>
  <c r="AA4" i="28"/>
  <c r="P4" i="28"/>
  <c r="Q4" i="28" s="1"/>
  <c r="V3" i="28" s="1"/>
  <c r="AA3" i="28"/>
  <c r="Z114" i="28" l="1"/>
  <c r="AF114" i="28" s="1"/>
  <c r="X109" i="28"/>
  <c r="AD109" i="28" s="1"/>
  <c r="X93" i="28"/>
  <c r="AD93" i="28" s="1"/>
  <c r="Z72" i="28"/>
  <c r="AF72" i="28" s="1"/>
  <c r="Z82" i="28"/>
  <c r="AF82" i="28" s="1"/>
  <c r="Z113" i="28"/>
  <c r="AF113" i="28" s="1"/>
  <c r="X55" i="28"/>
  <c r="AD55" i="28" s="1"/>
  <c r="Y76" i="28"/>
  <c r="AE76" i="28" s="1"/>
  <c r="Z107" i="28"/>
  <c r="AF107" i="28" s="1"/>
  <c r="Z94" i="28"/>
  <c r="AF94" i="28" s="1"/>
  <c r="Z98" i="28"/>
  <c r="AF98" i="28" s="1"/>
  <c r="Y64" i="28"/>
  <c r="AE64" i="28" s="1"/>
  <c r="X12" i="28"/>
  <c r="AD12" i="28" s="1"/>
  <c r="Z26" i="28"/>
  <c r="AF26" i="28" s="1"/>
  <c r="Y21" i="28"/>
  <c r="AE21" i="28" s="1"/>
  <c r="Z65" i="28"/>
  <c r="AF65" i="28" s="1"/>
  <c r="X111" i="28"/>
  <c r="AD111" i="28" s="1"/>
  <c r="Z14" i="28"/>
  <c r="AF14" i="28" s="1"/>
  <c r="Y31" i="28"/>
  <c r="AE31" i="28" s="1"/>
  <c r="Z90" i="28"/>
  <c r="AF90" i="28" s="1"/>
  <c r="Z102" i="28"/>
  <c r="AF102" i="28" s="1"/>
  <c r="X20" i="28"/>
  <c r="AD20" i="28" s="1"/>
  <c r="Z106" i="28"/>
  <c r="AF106" i="28" s="1"/>
  <c r="Y97" i="28"/>
  <c r="AE97" i="28" s="1"/>
  <c r="X112" i="28"/>
  <c r="AD112" i="28" s="1"/>
  <c r="Y58" i="28"/>
  <c r="AE58" i="28" s="1"/>
  <c r="Z86" i="28"/>
  <c r="AF86" i="28" s="1"/>
  <c r="Y101" i="28"/>
  <c r="AE101" i="28" s="1"/>
  <c r="Z122" i="28"/>
  <c r="AF122" i="28" s="1"/>
  <c r="Z52" i="28"/>
  <c r="AF52" i="28" s="1"/>
  <c r="X63" i="28"/>
  <c r="AD63" i="28" s="1"/>
  <c r="X119" i="28"/>
  <c r="AD119" i="28" s="1"/>
  <c r="Y107" i="28"/>
  <c r="AE107" i="28" s="1"/>
  <c r="Z54" i="28"/>
  <c r="AF54" i="28" s="1"/>
  <c r="Z15" i="28"/>
  <c r="AF15" i="28" s="1"/>
  <c r="Y55" i="28"/>
  <c r="AE55" i="28" s="1"/>
  <c r="Z55" i="28"/>
  <c r="AF55" i="28" s="1"/>
  <c r="X105" i="28"/>
  <c r="AD105" i="28" s="1"/>
  <c r="X116" i="28"/>
  <c r="AD116" i="28" s="1"/>
  <c r="X108" i="28"/>
  <c r="AD108" i="28" s="1"/>
  <c r="X41" i="28"/>
  <c r="AD41" i="28" s="1"/>
  <c r="X42" i="28"/>
  <c r="AD42" i="28" s="1"/>
  <c r="Z39" i="28"/>
  <c r="AF39" i="28" s="1"/>
  <c r="Z35" i="28"/>
  <c r="AF35" i="28" s="1"/>
  <c r="Y36" i="28"/>
  <c r="AE36" i="28" s="1"/>
  <c r="Z57" i="28"/>
  <c r="AF57" i="28" s="1"/>
  <c r="Y35" i="28"/>
  <c r="AE35" i="28" s="1"/>
  <c r="Z66" i="28"/>
  <c r="AF66" i="28" s="1"/>
  <c r="X17" i="28"/>
  <c r="AD17" i="28" s="1"/>
  <c r="Y32" i="28"/>
  <c r="AE32" i="28" s="1"/>
  <c r="Z45" i="28"/>
  <c r="AF45" i="28" s="1"/>
  <c r="Y8" i="28"/>
  <c r="AE8" i="28" s="1"/>
  <c r="X39" i="28"/>
  <c r="AD39" i="28" s="1"/>
  <c r="Y39" i="28"/>
  <c r="AE39" i="28" s="1"/>
  <c r="X52" i="28"/>
  <c r="AD52" i="28" s="1"/>
  <c r="Z48" i="28"/>
  <c r="AF48" i="28" s="1"/>
  <c r="X45" i="28"/>
  <c r="AD45" i="28" s="1"/>
  <c r="Z46" i="28"/>
  <c r="AF46" i="28" s="1"/>
  <c r="X54" i="28"/>
  <c r="AD54" i="28" s="1"/>
  <c r="Y56" i="28"/>
  <c r="AE56" i="28" s="1"/>
  <c r="X57" i="28"/>
  <c r="AD57" i="28" s="1"/>
  <c r="X81" i="28"/>
  <c r="AD81" i="28" s="1"/>
  <c r="Z43" i="28"/>
  <c r="AF43" i="28" s="1"/>
  <c r="Y46" i="28"/>
  <c r="AE46" i="28" s="1"/>
  <c r="X47" i="28"/>
  <c r="AD47" i="28" s="1"/>
  <c r="X11" i="28"/>
  <c r="AD11" i="28" s="1"/>
  <c r="Z33" i="28"/>
  <c r="AF33" i="28" s="1"/>
  <c r="Z38" i="28"/>
  <c r="AF38" i="28" s="1"/>
  <c r="Y62" i="28"/>
  <c r="AE62" i="28" s="1"/>
  <c r="Y63" i="28"/>
  <c r="AE63" i="28" s="1"/>
  <c r="Y84" i="28"/>
  <c r="AE84" i="28" s="1"/>
  <c r="Z31" i="28"/>
  <c r="AF31" i="28" s="1"/>
  <c r="Z37" i="28"/>
  <c r="AF37" i="28" s="1"/>
  <c r="Z29" i="28"/>
  <c r="AF29" i="28" s="1"/>
  <c r="Z34" i="28"/>
  <c r="AF34" i="28" s="1"/>
  <c r="Y13" i="28"/>
  <c r="AE13" i="28" s="1"/>
  <c r="Z30" i="28"/>
  <c r="AF30" i="28" s="1"/>
  <c r="Y60" i="28"/>
  <c r="AE60" i="28" s="1"/>
  <c r="Y27" i="28"/>
  <c r="AE27" i="28" s="1"/>
  <c r="Y52" i="28"/>
  <c r="AE52" i="28" s="1"/>
  <c r="Y59" i="28"/>
  <c r="AE59" i="28" s="1"/>
  <c r="Z73" i="28"/>
  <c r="AF73" i="28" s="1"/>
  <c r="Z79" i="28"/>
  <c r="AF79" i="28" s="1"/>
  <c r="Z83" i="28"/>
  <c r="AF83" i="28" s="1"/>
  <c r="Y87" i="28"/>
  <c r="AE87" i="28" s="1"/>
  <c r="Z118" i="28"/>
  <c r="AF118" i="28" s="1"/>
  <c r="Y115" i="28"/>
  <c r="AE115" i="28" s="1"/>
  <c r="Z117" i="28"/>
  <c r="AF117" i="28" s="1"/>
  <c r="Y40" i="28"/>
  <c r="AE40" i="28" s="1"/>
  <c r="X16" i="28"/>
  <c r="AD16" i="28" s="1"/>
  <c r="Y28" i="28"/>
  <c r="AE28" i="28" s="1"/>
  <c r="Z40" i="28"/>
  <c r="AF40" i="28" s="1"/>
  <c r="Z10" i="28"/>
  <c r="AF10" i="28" s="1"/>
  <c r="Z19" i="28"/>
  <c r="AF19" i="28" s="1"/>
  <c r="Z27" i="28"/>
  <c r="AF27" i="28" s="1"/>
  <c r="Z49" i="28"/>
  <c r="AF49" i="28" s="1"/>
  <c r="X50" i="28"/>
  <c r="AD50" i="28" s="1"/>
  <c r="Y51" i="28"/>
  <c r="AE51" i="28" s="1"/>
  <c r="Z87" i="28"/>
  <c r="AF87" i="28" s="1"/>
  <c r="Y6" i="28"/>
  <c r="AE6" i="28" s="1"/>
  <c r="Y7" i="28"/>
  <c r="AE7" i="28" s="1"/>
  <c r="Z17" i="28"/>
  <c r="AF17" i="28" s="1"/>
  <c r="Z9" i="28"/>
  <c r="AF9" i="28" s="1"/>
  <c r="Z32" i="28"/>
  <c r="AF32" i="28" s="1"/>
  <c r="X33" i="28"/>
  <c r="AD33" i="28" s="1"/>
  <c r="Z36" i="28"/>
  <c r="AF36" i="28" s="1"/>
  <c r="X37" i="28"/>
  <c r="AD37" i="28" s="1"/>
  <c r="Y15" i="28"/>
  <c r="AE15" i="28" s="1"/>
  <c r="X51" i="28"/>
  <c r="AD51" i="28" s="1"/>
  <c r="X53" i="28"/>
  <c r="AD53" i="28" s="1"/>
  <c r="Z81" i="28"/>
  <c r="AF81" i="28" s="1"/>
  <c r="Z64" i="28"/>
  <c r="AF64" i="28" s="1"/>
  <c r="Z68" i="28"/>
  <c r="AF68" i="28" s="1"/>
  <c r="X87" i="28"/>
  <c r="AD87" i="28" s="1"/>
  <c r="X91" i="28"/>
  <c r="AD91" i="28" s="1"/>
  <c r="Z108" i="28"/>
  <c r="AF108" i="28" s="1"/>
  <c r="Y118" i="28"/>
  <c r="AE118" i="28" s="1"/>
  <c r="Y4" i="28"/>
  <c r="AE4" i="28" s="1"/>
  <c r="Z28" i="28"/>
  <c r="AF28" i="28" s="1"/>
  <c r="X29" i="28"/>
  <c r="AD29" i="28" s="1"/>
  <c r="Y30" i="28"/>
  <c r="AE30" i="28" s="1"/>
  <c r="Y33" i="28"/>
  <c r="AE33" i="28" s="1"/>
  <c r="X35" i="28"/>
  <c r="AD35" i="28" s="1"/>
  <c r="Y37" i="28"/>
  <c r="AE37" i="28" s="1"/>
  <c r="X40" i="28"/>
  <c r="AD40" i="28" s="1"/>
  <c r="Y54" i="28"/>
  <c r="AE54" i="28" s="1"/>
  <c r="Z20" i="28"/>
  <c r="AF20" i="28" s="1"/>
  <c r="Y57" i="28"/>
  <c r="AE57" i="28" s="1"/>
  <c r="Z60" i="28"/>
  <c r="AF60" i="28" s="1"/>
  <c r="X26" i="28"/>
  <c r="AD26" i="28" s="1"/>
  <c r="Y74" i="28"/>
  <c r="AE74" i="28" s="1"/>
  <c r="Z84" i="28"/>
  <c r="AF84" i="28" s="1"/>
  <c r="X85" i="28"/>
  <c r="AD85" i="28" s="1"/>
  <c r="X95" i="28"/>
  <c r="AD95" i="28" s="1"/>
  <c r="Z97" i="28"/>
  <c r="AF97" i="28" s="1"/>
  <c r="Z120" i="28"/>
  <c r="AF120" i="28" s="1"/>
  <c r="Y29" i="28"/>
  <c r="AE29" i="28" s="1"/>
  <c r="Y16" i="28"/>
  <c r="AE16" i="28" s="1"/>
  <c r="X56" i="28"/>
  <c r="AD56" i="28" s="1"/>
  <c r="Z58" i="28"/>
  <c r="AF58" i="28" s="1"/>
  <c r="Z21" i="28"/>
  <c r="AF21" i="28" s="1"/>
  <c r="X62" i="28"/>
  <c r="AD62" i="28" s="1"/>
  <c r="Y66" i="28"/>
  <c r="AE66" i="28" s="1"/>
  <c r="X89" i="28"/>
  <c r="AD89" i="28" s="1"/>
  <c r="Y94" i="28"/>
  <c r="AE94" i="28" s="1"/>
  <c r="Y98" i="28"/>
  <c r="AE98" i="28" s="1"/>
  <c r="X98" i="28"/>
  <c r="AD98" i="28" s="1"/>
  <c r="Z104" i="28"/>
  <c r="AF104" i="28" s="1"/>
  <c r="Z111" i="28"/>
  <c r="AF111" i="28" s="1"/>
  <c r="X114" i="28"/>
  <c r="AD114" i="28" s="1"/>
  <c r="X94" i="28"/>
  <c r="AD94" i="28" s="1"/>
  <c r="X5" i="28"/>
  <c r="AD5" i="28" s="1"/>
  <c r="Z22" i="28"/>
  <c r="AF22" i="28" s="1"/>
  <c r="Y10" i="28"/>
  <c r="AE10" i="28" s="1"/>
  <c r="Y41" i="28"/>
  <c r="AE41" i="28" s="1"/>
  <c r="Y42" i="28"/>
  <c r="AE42" i="28" s="1"/>
  <c r="X43" i="28"/>
  <c r="AD43" i="28" s="1"/>
  <c r="X44" i="28"/>
  <c r="AD44" i="28" s="1"/>
  <c r="Y18" i="28"/>
  <c r="AE18" i="28" s="1"/>
  <c r="Y19" i="28"/>
  <c r="AE19" i="28" s="1"/>
  <c r="Z59" i="28"/>
  <c r="AF59" i="28" s="1"/>
  <c r="X60" i="28"/>
  <c r="AD60" i="28" s="1"/>
  <c r="Z62" i="28"/>
  <c r="AF62" i="28" s="1"/>
  <c r="X66" i="28"/>
  <c r="AD66" i="28" s="1"/>
  <c r="X25" i="28"/>
  <c r="AD25" i="28" s="1"/>
  <c r="Y83" i="28"/>
  <c r="AE83" i="28" s="1"/>
  <c r="Y93" i="28"/>
  <c r="AE93" i="28" s="1"/>
  <c r="Y105" i="28"/>
  <c r="AE105" i="28" s="1"/>
  <c r="Z100" i="28"/>
  <c r="AF100" i="28" s="1"/>
  <c r="Y112" i="28"/>
  <c r="AE112" i="28" s="1"/>
  <c r="Y119" i="28"/>
  <c r="AE119" i="28" s="1"/>
  <c r="X3" i="28"/>
  <c r="AD3" i="28" s="1"/>
  <c r="Y25" i="28"/>
  <c r="AE25" i="28" s="1"/>
  <c r="Z41" i="28"/>
  <c r="AF41" i="28" s="1"/>
  <c r="Z42" i="28"/>
  <c r="AF42" i="28" s="1"/>
  <c r="Y43" i="28"/>
  <c r="AE43" i="28" s="1"/>
  <c r="Y44" i="28"/>
  <c r="AE44" i="28" s="1"/>
  <c r="X58" i="28"/>
  <c r="AD58" i="28" s="1"/>
  <c r="Z63" i="28"/>
  <c r="AF63" i="28" s="1"/>
  <c r="Y70" i="28"/>
  <c r="AE70" i="28" s="1"/>
  <c r="Z76" i="28"/>
  <c r="AF76" i="28" s="1"/>
  <c r="X78" i="28"/>
  <c r="AD78" i="28" s="1"/>
  <c r="X101" i="28"/>
  <c r="AD101" i="28" s="1"/>
  <c r="Z112" i="28"/>
  <c r="AF112" i="28" s="1"/>
  <c r="X122" i="28"/>
  <c r="AD122" i="28" s="1"/>
  <c r="Z13" i="28"/>
  <c r="AF13" i="28" s="1"/>
  <c r="Z96" i="28"/>
  <c r="AF96" i="28" s="1"/>
  <c r="Z105" i="28"/>
  <c r="AF105" i="28" s="1"/>
  <c r="Y110" i="28"/>
  <c r="AE110" i="28" s="1"/>
  <c r="Y122" i="28"/>
  <c r="AE122" i="28" s="1"/>
  <c r="Y17" i="28"/>
  <c r="AE17" i="28" s="1"/>
  <c r="Y12" i="28"/>
  <c r="AE12" i="28" s="1"/>
  <c r="X14" i="28"/>
  <c r="AD14" i="28" s="1"/>
  <c r="X46" i="28"/>
  <c r="AD46" i="28" s="1"/>
  <c r="Y48" i="28"/>
  <c r="AE48" i="28" s="1"/>
  <c r="X49" i="28"/>
  <c r="AD49" i="28" s="1"/>
  <c r="Y50" i="28"/>
  <c r="AE50" i="28" s="1"/>
  <c r="Z51" i="28"/>
  <c r="AF51" i="28" s="1"/>
  <c r="Y68" i="28"/>
  <c r="AE68" i="28" s="1"/>
  <c r="Z69" i="28"/>
  <c r="AF69" i="28" s="1"/>
  <c r="Z70" i="28"/>
  <c r="AF70" i="28" s="1"/>
  <c r="X73" i="28"/>
  <c r="AD73" i="28" s="1"/>
  <c r="Y75" i="28"/>
  <c r="AE75" i="28" s="1"/>
  <c r="X76" i="28"/>
  <c r="AD76" i="28" s="1"/>
  <c r="Z77" i="28"/>
  <c r="AF77" i="28" s="1"/>
  <c r="Y81" i="28"/>
  <c r="AE81" i="28" s="1"/>
  <c r="Y11" i="28"/>
  <c r="AE11" i="28" s="1"/>
  <c r="Z11" i="28"/>
  <c r="AF11" i="28" s="1"/>
  <c r="Y22" i="28"/>
  <c r="AE22" i="28" s="1"/>
  <c r="X22" i="28"/>
  <c r="AD22" i="28" s="1"/>
  <c r="X7" i="28"/>
  <c r="AD7" i="28" s="1"/>
  <c r="Z16" i="28"/>
  <c r="AF16" i="28" s="1"/>
  <c r="Z61" i="28"/>
  <c r="AF61" i="28" s="1"/>
  <c r="X61" i="28"/>
  <c r="AD61" i="28" s="1"/>
  <c r="X6" i="28"/>
  <c r="AD6" i="28" s="1"/>
  <c r="Z67" i="28"/>
  <c r="AF67" i="28" s="1"/>
  <c r="Y67" i="28"/>
  <c r="AE67" i="28" s="1"/>
  <c r="X67" i="28"/>
  <c r="AD67" i="28" s="1"/>
  <c r="Z6" i="28"/>
  <c r="AF6" i="28" s="1"/>
  <c r="X9" i="28"/>
  <c r="AD9" i="28" s="1"/>
  <c r="Y9" i="28"/>
  <c r="AE9" i="28" s="1"/>
  <c r="X19" i="28"/>
  <c r="AD19" i="28" s="1"/>
  <c r="Z71" i="28"/>
  <c r="AF71" i="28" s="1"/>
  <c r="Y71" i="28"/>
  <c r="AE71" i="28" s="1"/>
  <c r="X71" i="28"/>
  <c r="AD71" i="28" s="1"/>
  <c r="Z7" i="28"/>
  <c r="AF7" i="28" s="1"/>
  <c r="Z3" i="28"/>
  <c r="AF3" i="28" s="1"/>
  <c r="Y5" i="28"/>
  <c r="AE5" i="28" s="1"/>
  <c r="X18" i="28"/>
  <c r="AD18" i="28" s="1"/>
  <c r="Y3" i="28"/>
  <c r="AE3" i="28" s="1"/>
  <c r="Z4" i="28"/>
  <c r="AF4" i="28" s="1"/>
  <c r="Z18" i="28"/>
  <c r="AF18" i="28" s="1"/>
  <c r="X10" i="28"/>
  <c r="AD10" i="28" s="1"/>
  <c r="Z25" i="28"/>
  <c r="AF25" i="28" s="1"/>
  <c r="X15" i="28"/>
  <c r="AD15" i="28" s="1"/>
  <c r="Z24" i="28"/>
  <c r="AF24" i="28" s="1"/>
  <c r="Y24" i="28"/>
  <c r="AE24" i="28" s="1"/>
  <c r="Y26" i="28"/>
  <c r="AE26" i="28" s="1"/>
  <c r="X4" i="28"/>
  <c r="AD4" i="28" s="1"/>
  <c r="X8" i="28"/>
  <c r="AD8" i="28" s="1"/>
  <c r="Z5" i="28"/>
  <c r="AF5" i="28" s="1"/>
  <c r="Z8" i="28"/>
  <c r="AF8" i="28" s="1"/>
  <c r="X24" i="28"/>
  <c r="AD24" i="28" s="1"/>
  <c r="Z12" i="28"/>
  <c r="AF12" i="28" s="1"/>
  <c r="X13" i="28"/>
  <c r="AD13" i="28" s="1"/>
  <c r="Y14" i="28"/>
  <c r="AE14" i="28" s="1"/>
  <c r="Y20" i="28"/>
  <c r="AE20" i="28" s="1"/>
  <c r="X21" i="28"/>
  <c r="AD21" i="28" s="1"/>
  <c r="Y23" i="28"/>
  <c r="AE23" i="28" s="1"/>
  <c r="Z23" i="28"/>
  <c r="AF23" i="28" s="1"/>
  <c r="X23" i="28"/>
  <c r="AD23" i="28" s="1"/>
  <c r="X28" i="28"/>
  <c r="AD28" i="28" s="1"/>
  <c r="X32" i="28"/>
  <c r="AD32" i="28" s="1"/>
  <c r="X36" i="28"/>
  <c r="AD36" i="28" s="1"/>
  <c r="Y47" i="28"/>
  <c r="AE47" i="28" s="1"/>
  <c r="Y49" i="28"/>
  <c r="AE49" i="28" s="1"/>
  <c r="Z53" i="28"/>
  <c r="AF53" i="28" s="1"/>
  <c r="Z56" i="28"/>
  <c r="AF56" i="28" s="1"/>
  <c r="Z88" i="28"/>
  <c r="AF88" i="28" s="1"/>
  <c r="Y88" i="28"/>
  <c r="AE88" i="28" s="1"/>
  <c r="X88" i="28"/>
  <c r="AD88" i="28" s="1"/>
  <c r="Y99" i="28"/>
  <c r="AE99" i="28" s="1"/>
  <c r="X99" i="28"/>
  <c r="AD99" i="28" s="1"/>
  <c r="Y120" i="28"/>
  <c r="AE120" i="28" s="1"/>
  <c r="X120" i="28"/>
  <c r="AD120" i="28" s="1"/>
  <c r="Z44" i="28"/>
  <c r="AF44" i="28" s="1"/>
  <c r="Z47" i="28"/>
  <c r="AF47" i="28" s="1"/>
  <c r="Z50" i="28"/>
  <c r="AF50" i="28" s="1"/>
  <c r="Z74" i="28"/>
  <c r="AF74" i="28" s="1"/>
  <c r="Z75" i="28"/>
  <c r="AF75" i="28" s="1"/>
  <c r="Y89" i="28"/>
  <c r="AE89" i="28" s="1"/>
  <c r="X83" i="28"/>
  <c r="AD83" i="28" s="1"/>
  <c r="Z99" i="28"/>
  <c r="AF99" i="28" s="1"/>
  <c r="Y104" i="28"/>
  <c r="AE104" i="28" s="1"/>
  <c r="X104" i="28"/>
  <c r="AD104" i="28" s="1"/>
  <c r="Y106" i="28"/>
  <c r="AE106" i="28" s="1"/>
  <c r="X106" i="28"/>
  <c r="AD106" i="28" s="1"/>
  <c r="Y111" i="28"/>
  <c r="AE111" i="28" s="1"/>
  <c r="Z116" i="28"/>
  <c r="AF116" i="28" s="1"/>
  <c r="Y116" i="28"/>
  <c r="AE116" i="28" s="1"/>
  <c r="X27" i="28"/>
  <c r="AD27" i="28" s="1"/>
  <c r="X31" i="28"/>
  <c r="AD31" i="28" s="1"/>
  <c r="Y45" i="28"/>
  <c r="AE45" i="28" s="1"/>
  <c r="X77" i="28"/>
  <c r="AD77" i="28" s="1"/>
  <c r="X79" i="28"/>
  <c r="AD79" i="28" s="1"/>
  <c r="Z93" i="28"/>
  <c r="AF93" i="28" s="1"/>
  <c r="Y102" i="28"/>
  <c r="AE102" i="28" s="1"/>
  <c r="X102" i="28"/>
  <c r="AD102" i="28" s="1"/>
  <c r="Y121" i="28"/>
  <c r="AE121" i="28" s="1"/>
  <c r="X121" i="28"/>
  <c r="AD121" i="28" s="1"/>
  <c r="Y77" i="28"/>
  <c r="AE77" i="28" s="1"/>
  <c r="Z80" i="28"/>
  <c r="AF80" i="28" s="1"/>
  <c r="X80" i="28"/>
  <c r="AD80" i="28" s="1"/>
  <c r="X75" i="28"/>
  <c r="AD75" i="28" s="1"/>
  <c r="Z89" i="28"/>
  <c r="AF89" i="28" s="1"/>
  <c r="Z91" i="28"/>
  <c r="AF91" i="28" s="1"/>
  <c r="Z95" i="28"/>
  <c r="AF95" i="28" s="1"/>
  <c r="Y95" i="28"/>
  <c r="AE95" i="28" s="1"/>
  <c r="Y100" i="28"/>
  <c r="AE100" i="28" s="1"/>
  <c r="X100" i="28"/>
  <c r="AD100" i="28" s="1"/>
  <c r="X107" i="28"/>
  <c r="AD107" i="28" s="1"/>
  <c r="Y114" i="28"/>
  <c r="AE114" i="28" s="1"/>
  <c r="X30" i="28"/>
  <c r="AD30" i="28" s="1"/>
  <c r="X34" i="28"/>
  <c r="AD34" i="28" s="1"/>
  <c r="X38" i="28"/>
  <c r="AD38" i="28" s="1"/>
  <c r="X70" i="28"/>
  <c r="AD70" i="28" s="1"/>
  <c r="X72" i="28"/>
  <c r="AD72" i="28" s="1"/>
  <c r="Z85" i="28"/>
  <c r="AF85" i="28" s="1"/>
  <c r="X90" i="28"/>
  <c r="AD90" i="28" s="1"/>
  <c r="Z109" i="28"/>
  <c r="AF109" i="28" s="1"/>
  <c r="Y109" i="28"/>
  <c r="AE109" i="28" s="1"/>
  <c r="Y117" i="28"/>
  <c r="AE117" i="28" s="1"/>
  <c r="X117" i="28"/>
  <c r="AD117" i="28" s="1"/>
  <c r="Z121" i="28"/>
  <c r="AF121" i="28" s="1"/>
  <c r="Y34" i="28"/>
  <c r="AE34" i="28" s="1"/>
  <c r="Y38" i="28"/>
  <c r="AE38" i="28" s="1"/>
  <c r="X48" i="28"/>
  <c r="AD48" i="28" s="1"/>
  <c r="Y53" i="28"/>
  <c r="AE53" i="28" s="1"/>
  <c r="X59" i="28"/>
  <c r="AD59" i="28" s="1"/>
  <c r="X64" i="28"/>
  <c r="AD64" i="28" s="1"/>
  <c r="X68" i="28"/>
  <c r="AD68" i="28" s="1"/>
  <c r="Y72" i="28"/>
  <c r="AE72" i="28" s="1"/>
  <c r="Z78" i="28"/>
  <c r="AF78" i="28" s="1"/>
  <c r="Y79" i="28"/>
  <c r="AE79" i="28" s="1"/>
  <c r="Y80" i="28"/>
  <c r="AE80" i="28" s="1"/>
  <c r="X86" i="28"/>
  <c r="AD86" i="28" s="1"/>
  <c r="Y96" i="28"/>
  <c r="AE96" i="28" s="1"/>
  <c r="X96" i="28"/>
  <c r="AD96" i="28" s="1"/>
  <c r="X110" i="28"/>
  <c r="AD110" i="28" s="1"/>
  <c r="Z110" i="28"/>
  <c r="AF110" i="28" s="1"/>
  <c r="X115" i="28"/>
  <c r="AD115" i="28" s="1"/>
  <c r="Y61" i="28"/>
  <c r="AE61" i="28" s="1"/>
  <c r="X65" i="28"/>
  <c r="AD65" i="28" s="1"/>
  <c r="X69" i="28"/>
  <c r="AD69" i="28" s="1"/>
  <c r="Y73" i="28"/>
  <c r="AE73" i="28" s="1"/>
  <c r="Y78" i="28"/>
  <c r="AE78" i="28" s="1"/>
  <c r="X82" i="28"/>
  <c r="AD82" i="28" s="1"/>
  <c r="Y86" i="28"/>
  <c r="AE86" i="28" s="1"/>
  <c r="Y103" i="28"/>
  <c r="AE103" i="28" s="1"/>
  <c r="X103" i="28"/>
  <c r="AD103" i="28" s="1"/>
  <c r="Y113" i="28"/>
  <c r="AE113" i="28" s="1"/>
  <c r="X113" i="28"/>
  <c r="AD113" i="28" s="1"/>
  <c r="Y65" i="28"/>
  <c r="AE65" i="28" s="1"/>
  <c r="Y69" i="28"/>
  <c r="AE69" i="28" s="1"/>
  <c r="X74" i="28"/>
  <c r="AD74" i="28" s="1"/>
  <c r="Y85" i="28"/>
  <c r="AE85" i="28" s="1"/>
  <c r="Y90" i="28"/>
  <c r="AE90" i="28" s="1"/>
  <c r="Y91" i="28"/>
  <c r="AE91" i="28" s="1"/>
  <c r="Y82" i="28"/>
  <c r="AE82" i="28" s="1"/>
  <c r="Z92" i="28"/>
  <c r="AF92" i="28" s="1"/>
  <c r="Y92" i="28"/>
  <c r="AE92" i="28" s="1"/>
  <c r="X92" i="28"/>
  <c r="AD92" i="28" s="1"/>
  <c r="X97" i="28"/>
  <c r="AD97" i="28" s="1"/>
  <c r="Z101" i="28"/>
  <c r="AF101" i="28" s="1"/>
  <c r="Z103" i="28"/>
  <c r="AF103" i="28" s="1"/>
  <c r="Y108" i="28"/>
  <c r="AE108" i="28" s="1"/>
  <c r="Z115" i="28"/>
  <c r="AF115" i="28" s="1"/>
  <c r="X118" i="28"/>
  <c r="AD118" i="28" s="1"/>
  <c r="X84" i="28"/>
  <c r="AD84" i="28" s="1"/>
  <c r="Z119" i="28"/>
  <c r="AF119" i="28" s="1"/>
  <c r="AG3" i="28" l="1"/>
  <c r="Q23" i="16" l="1"/>
  <c r="Q23" i="3"/>
  <c r="Q20" i="16" l="1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C93" i="16" l="1"/>
  <c r="B93" i="16"/>
  <c r="A93" i="16"/>
  <c r="E93" i="16" s="1"/>
  <c r="C92" i="16"/>
  <c r="B92" i="16"/>
  <c r="A92" i="16"/>
  <c r="E92" i="16" s="1"/>
  <c r="L91" i="16"/>
  <c r="C91" i="16"/>
  <c r="B91" i="16"/>
  <c r="A91" i="16"/>
  <c r="E91" i="16" s="1"/>
  <c r="L90" i="16"/>
  <c r="C90" i="16"/>
  <c r="B90" i="16"/>
  <c r="A90" i="16"/>
  <c r="E90" i="16" s="1"/>
  <c r="L89" i="16"/>
  <c r="E89" i="16"/>
  <c r="C89" i="16"/>
  <c r="B89" i="16"/>
  <c r="A89" i="16"/>
  <c r="E88" i="16"/>
  <c r="C88" i="16"/>
  <c r="B88" i="16"/>
  <c r="A88" i="16"/>
  <c r="C87" i="16"/>
  <c r="B87" i="16"/>
  <c r="E87" i="16" s="1"/>
  <c r="A87" i="16"/>
  <c r="C86" i="16"/>
  <c r="B86" i="16"/>
  <c r="A86" i="16"/>
  <c r="E86" i="16" s="1"/>
  <c r="C85" i="16"/>
  <c r="B85" i="16"/>
  <c r="A85" i="16"/>
  <c r="E85" i="16" s="1"/>
  <c r="C84" i="16"/>
  <c r="B84" i="16"/>
  <c r="A84" i="16"/>
  <c r="E84" i="16" s="1"/>
  <c r="L83" i="16"/>
  <c r="C83" i="16"/>
  <c r="B83" i="16"/>
  <c r="A83" i="16"/>
  <c r="E83" i="16" s="1"/>
  <c r="L82" i="16"/>
  <c r="C82" i="16"/>
  <c r="B82" i="16"/>
  <c r="A82" i="16"/>
  <c r="E82" i="16" s="1"/>
  <c r="L81" i="16"/>
  <c r="E81" i="16"/>
  <c r="C81" i="16"/>
  <c r="B81" i="16"/>
  <c r="A81" i="16"/>
  <c r="E80" i="16"/>
  <c r="C80" i="16"/>
  <c r="B80" i="16"/>
  <c r="A80" i="16"/>
  <c r="C79" i="16"/>
  <c r="B79" i="16"/>
  <c r="E79" i="16" s="1"/>
  <c r="A79" i="16"/>
  <c r="C78" i="16"/>
  <c r="B78" i="16"/>
  <c r="A78" i="16"/>
  <c r="E78" i="16" s="1"/>
  <c r="C77" i="16"/>
  <c r="B77" i="16"/>
  <c r="A77" i="16"/>
  <c r="E77" i="16" s="1"/>
  <c r="C76" i="16"/>
  <c r="B76" i="16"/>
  <c r="A76" i="16"/>
  <c r="E76" i="16" s="1"/>
  <c r="L75" i="16"/>
  <c r="C75" i="16"/>
  <c r="B75" i="16"/>
  <c r="A75" i="16"/>
  <c r="E75" i="16" s="1"/>
  <c r="L74" i="16"/>
  <c r="C74" i="16"/>
  <c r="B74" i="16"/>
  <c r="A74" i="16"/>
  <c r="E74" i="16" s="1"/>
  <c r="L73" i="16"/>
  <c r="E73" i="16"/>
  <c r="C73" i="16"/>
  <c r="B73" i="16"/>
  <c r="A73" i="16"/>
  <c r="E72" i="16"/>
  <c r="C72" i="16"/>
  <c r="B72" i="16"/>
  <c r="A72" i="16"/>
  <c r="E71" i="16"/>
  <c r="C71" i="16"/>
  <c r="B71" i="16"/>
  <c r="A71" i="16"/>
  <c r="C70" i="16"/>
  <c r="B70" i="16"/>
  <c r="A70" i="16"/>
  <c r="E70" i="16" s="1"/>
  <c r="C69" i="16"/>
  <c r="B69" i="16"/>
  <c r="A69" i="16"/>
  <c r="C68" i="16"/>
  <c r="B68" i="16"/>
  <c r="A68" i="16"/>
  <c r="E68" i="16" s="1"/>
  <c r="L67" i="16"/>
  <c r="C67" i="16"/>
  <c r="B67" i="16"/>
  <c r="A67" i="16"/>
  <c r="E67" i="16" s="1"/>
  <c r="L66" i="16"/>
  <c r="C66" i="16"/>
  <c r="B66" i="16"/>
  <c r="A66" i="16"/>
  <c r="E66" i="16" s="1"/>
  <c r="L65" i="16"/>
  <c r="E65" i="16"/>
  <c r="C65" i="16"/>
  <c r="B65" i="16"/>
  <c r="A65" i="16"/>
  <c r="E64" i="16"/>
  <c r="C64" i="16"/>
  <c r="B64" i="16"/>
  <c r="A64" i="16"/>
  <c r="E63" i="16"/>
  <c r="C63" i="16"/>
  <c r="B63" i="16"/>
  <c r="A63" i="16"/>
  <c r="C62" i="16"/>
  <c r="B62" i="16"/>
  <c r="A62" i="16"/>
  <c r="E62" i="16" s="1"/>
  <c r="C61" i="16"/>
  <c r="B61" i="16"/>
  <c r="A61" i="16"/>
  <c r="C60" i="16"/>
  <c r="B60" i="16"/>
  <c r="A60" i="16"/>
  <c r="E60" i="16" s="1"/>
  <c r="L59" i="16"/>
  <c r="C59" i="16"/>
  <c r="B59" i="16"/>
  <c r="A59" i="16"/>
  <c r="E59" i="16" s="1"/>
  <c r="L58" i="16"/>
  <c r="C58" i="16"/>
  <c r="B58" i="16"/>
  <c r="A58" i="16"/>
  <c r="E58" i="16" s="1"/>
  <c r="L57" i="16"/>
  <c r="E57" i="16"/>
  <c r="C57" i="16"/>
  <c r="B57" i="16"/>
  <c r="A57" i="16"/>
  <c r="E56" i="16"/>
  <c r="C56" i="16"/>
  <c r="B56" i="16"/>
  <c r="A56" i="16"/>
  <c r="E55" i="16"/>
  <c r="C55" i="16"/>
  <c r="B55" i="16"/>
  <c r="A55" i="16"/>
  <c r="C54" i="16"/>
  <c r="B54" i="16"/>
  <c r="A54" i="16"/>
  <c r="C53" i="16"/>
  <c r="B53" i="16"/>
  <c r="A53" i="16"/>
  <c r="C52" i="16"/>
  <c r="B52" i="16"/>
  <c r="A52" i="16"/>
  <c r="E52" i="16" s="1"/>
  <c r="L51" i="16"/>
  <c r="C51" i="16"/>
  <c r="B51" i="16"/>
  <c r="A51" i="16"/>
  <c r="E51" i="16" s="1"/>
  <c r="L50" i="16"/>
  <c r="C50" i="16"/>
  <c r="B50" i="16"/>
  <c r="A50" i="16"/>
  <c r="E50" i="16" s="1"/>
  <c r="L49" i="16"/>
  <c r="E49" i="16"/>
  <c r="C49" i="16"/>
  <c r="B49" i="16"/>
  <c r="A49" i="16"/>
  <c r="E48" i="16"/>
  <c r="C48" i="16"/>
  <c r="B48" i="16"/>
  <c r="A48" i="16"/>
  <c r="C47" i="16"/>
  <c r="B47" i="16"/>
  <c r="E47" i="16" s="1"/>
  <c r="A47" i="16"/>
  <c r="C46" i="16"/>
  <c r="B46" i="16"/>
  <c r="A46" i="16"/>
  <c r="E46" i="16" s="1"/>
  <c r="C45" i="16"/>
  <c r="B45" i="16"/>
  <c r="A45" i="16"/>
  <c r="E45" i="16" s="1"/>
  <c r="C44" i="16"/>
  <c r="B44" i="16"/>
  <c r="A44" i="16"/>
  <c r="C43" i="16"/>
  <c r="B43" i="16"/>
  <c r="A43" i="16"/>
  <c r="E43" i="16" s="1"/>
  <c r="L42" i="16"/>
  <c r="C42" i="16"/>
  <c r="B42" i="16"/>
  <c r="A42" i="16"/>
  <c r="E42" i="16" s="1"/>
  <c r="L41" i="16"/>
  <c r="E41" i="16"/>
  <c r="C41" i="16"/>
  <c r="B41" i="16"/>
  <c r="A41" i="16"/>
  <c r="E40" i="16"/>
  <c r="C40" i="16"/>
  <c r="L40" i="16" s="1"/>
  <c r="B40" i="16"/>
  <c r="A40" i="16"/>
  <c r="C39" i="16"/>
  <c r="B39" i="16"/>
  <c r="E39" i="16" s="1"/>
  <c r="A39" i="16"/>
  <c r="C38" i="16"/>
  <c r="B38" i="16"/>
  <c r="A38" i="16"/>
  <c r="E38" i="16" s="1"/>
  <c r="C37" i="16"/>
  <c r="B37" i="16"/>
  <c r="A37" i="16"/>
  <c r="E37" i="16" s="1"/>
  <c r="C36" i="16"/>
  <c r="B36" i="16"/>
  <c r="A36" i="16"/>
  <c r="C35" i="16"/>
  <c r="B35" i="16"/>
  <c r="A35" i="16"/>
  <c r="E35" i="16" s="1"/>
  <c r="L34" i="16"/>
  <c r="C34" i="16"/>
  <c r="B34" i="16"/>
  <c r="A34" i="16"/>
  <c r="E34" i="16" s="1"/>
  <c r="L33" i="16"/>
  <c r="E33" i="16"/>
  <c r="C33" i="16"/>
  <c r="B33" i="16"/>
  <c r="A33" i="16"/>
  <c r="E32" i="16"/>
  <c r="C32" i="16"/>
  <c r="L32" i="16" s="1"/>
  <c r="B32" i="16"/>
  <c r="A32" i="16"/>
  <c r="C31" i="16"/>
  <c r="B31" i="16"/>
  <c r="E31" i="16" s="1"/>
  <c r="A31" i="16"/>
  <c r="C30" i="16"/>
  <c r="B30" i="16"/>
  <c r="A30" i="16"/>
  <c r="E30" i="16" s="1"/>
  <c r="C29" i="16"/>
  <c r="B29" i="16"/>
  <c r="A29" i="16"/>
  <c r="E29" i="16" s="1"/>
  <c r="C28" i="16"/>
  <c r="B28" i="16"/>
  <c r="A28" i="16"/>
  <c r="C27" i="16"/>
  <c r="B27" i="16"/>
  <c r="A27" i="16"/>
  <c r="E27" i="16" s="1"/>
  <c r="L26" i="16"/>
  <c r="C26" i="16"/>
  <c r="B26" i="16"/>
  <c r="A26" i="16"/>
  <c r="E26" i="16" s="1"/>
  <c r="L25" i="16"/>
  <c r="E25" i="16"/>
  <c r="C25" i="16"/>
  <c r="B25" i="16"/>
  <c r="A25" i="16"/>
  <c r="L24" i="16"/>
  <c r="C24" i="16"/>
  <c r="B24" i="16"/>
  <c r="E24" i="16" s="1"/>
  <c r="O24" i="16" s="1"/>
  <c r="A24" i="16"/>
  <c r="C23" i="16"/>
  <c r="B23" i="16"/>
  <c r="A23" i="16"/>
  <c r="E23" i="16" s="1"/>
  <c r="O23" i="16" s="1"/>
  <c r="C22" i="16"/>
  <c r="B22" i="16"/>
  <c r="A22" i="16"/>
  <c r="E22" i="16" s="1"/>
  <c r="O22" i="16" s="1"/>
  <c r="C21" i="16"/>
  <c r="B21" i="16"/>
  <c r="A21" i="16"/>
  <c r="Q21" i="16"/>
  <c r="C20" i="16"/>
  <c r="B20" i="16"/>
  <c r="A20" i="16"/>
  <c r="C19" i="16"/>
  <c r="L19" i="16" s="1"/>
  <c r="B19" i="16"/>
  <c r="A19" i="16"/>
  <c r="E19" i="16" s="1"/>
  <c r="O19" i="16" s="1"/>
  <c r="L18" i="16"/>
  <c r="C18" i="16"/>
  <c r="B18" i="16"/>
  <c r="A18" i="16"/>
  <c r="E18" i="16" s="1"/>
  <c r="O18" i="16" s="1"/>
  <c r="L17" i="16"/>
  <c r="C17" i="16"/>
  <c r="B17" i="16"/>
  <c r="A17" i="16"/>
  <c r="E17" i="16" s="1"/>
  <c r="O17" i="16" s="1"/>
  <c r="L16" i="16"/>
  <c r="E16" i="16"/>
  <c r="O16" i="16" s="1"/>
  <c r="C16" i="16"/>
  <c r="B16" i="16"/>
  <c r="A16" i="16"/>
  <c r="Q15" i="16"/>
  <c r="Q16" i="16" s="1"/>
  <c r="E15" i="16"/>
  <c r="O15" i="16" s="1"/>
  <c r="C15" i="16"/>
  <c r="B15" i="16"/>
  <c r="A15" i="16"/>
  <c r="E14" i="16"/>
  <c r="C14" i="16"/>
  <c r="B14" i="16"/>
  <c r="A14" i="16"/>
  <c r="E13" i="16"/>
  <c r="C13" i="16"/>
  <c r="B13" i="16"/>
  <c r="A13" i="16"/>
  <c r="E12" i="16"/>
  <c r="C12" i="16"/>
  <c r="B12" i="16"/>
  <c r="A12" i="16"/>
  <c r="C11" i="16"/>
  <c r="B11" i="16"/>
  <c r="A11" i="16"/>
  <c r="E11" i="16" s="1"/>
  <c r="Q10" i="16"/>
  <c r="Q11" i="16" s="1"/>
  <c r="E10" i="16"/>
  <c r="C10" i="16"/>
  <c r="B10" i="16"/>
  <c r="A10" i="16"/>
  <c r="C9" i="16"/>
  <c r="B9" i="16"/>
  <c r="A9" i="16"/>
  <c r="E9" i="16" s="1"/>
  <c r="C8" i="16"/>
  <c r="B8" i="16"/>
  <c r="A8" i="16"/>
  <c r="L7" i="16"/>
  <c r="C7" i="16"/>
  <c r="B7" i="16"/>
  <c r="A7" i="16"/>
  <c r="E7" i="16" s="1"/>
  <c r="L6" i="16"/>
  <c r="C6" i="16"/>
  <c r="B6" i="16"/>
  <c r="A6" i="16"/>
  <c r="E6" i="16" s="1"/>
  <c r="C5" i="16"/>
  <c r="B5" i="16"/>
  <c r="A5" i="16"/>
  <c r="E5" i="16" s="1"/>
  <c r="O5" i="16" s="1"/>
  <c r="L4" i="16"/>
  <c r="C4" i="16"/>
  <c r="B4" i="16"/>
  <c r="A4" i="16"/>
  <c r="E4" i="16" s="1"/>
  <c r="O4" i="16" s="1"/>
  <c r="C3" i="16"/>
  <c r="L3" i="16" s="1"/>
  <c r="B3" i="16"/>
  <c r="A3" i="16"/>
  <c r="E3" i="16" s="1"/>
  <c r="C2" i="16"/>
  <c r="B2" i="16"/>
  <c r="A2" i="16"/>
  <c r="E2" i="16" s="1"/>
  <c r="O11" i="16" l="1"/>
  <c r="L11" i="16"/>
  <c r="L21" i="16"/>
  <c r="E21" i="16"/>
  <c r="O21" i="16" s="1"/>
  <c r="Q5" i="16"/>
  <c r="L2" i="16"/>
  <c r="E8" i="16"/>
  <c r="O8" i="16" s="1"/>
  <c r="O31" i="16"/>
  <c r="L31" i="16"/>
  <c r="O39" i="16"/>
  <c r="L39" i="16"/>
  <c r="O47" i="16"/>
  <c r="L47" i="16"/>
  <c r="E54" i="16"/>
  <c r="O54" i="16" s="1"/>
  <c r="O79" i="16"/>
  <c r="L79" i="16"/>
  <c r="O2" i="16"/>
  <c r="L5" i="16"/>
  <c r="O10" i="16"/>
  <c r="L10" i="16"/>
  <c r="E20" i="16"/>
  <c r="O20" i="16" s="1"/>
  <c r="L27" i="16"/>
  <c r="O29" i="16"/>
  <c r="L29" i="16"/>
  <c r="L35" i="16"/>
  <c r="O37" i="16"/>
  <c r="L37" i="16"/>
  <c r="L43" i="16"/>
  <c r="O45" i="16"/>
  <c r="O56" i="16"/>
  <c r="L56" i="16"/>
  <c r="E61" i="16"/>
  <c r="O61" i="16" s="1"/>
  <c r="O63" i="16"/>
  <c r="L63" i="16"/>
  <c r="O72" i="16"/>
  <c r="L72" i="16"/>
  <c r="L12" i="16"/>
  <c r="O12" i="16"/>
  <c r="L54" i="16"/>
  <c r="O70" i="16"/>
  <c r="L70" i="16"/>
  <c r="L14" i="16"/>
  <c r="O14" i="16"/>
  <c r="L20" i="16"/>
  <c r="E28" i="16"/>
  <c r="O28" i="16" s="1"/>
  <c r="E36" i="16"/>
  <c r="O36" i="16" s="1"/>
  <c r="E44" i="16"/>
  <c r="O44" i="16" s="1"/>
  <c r="P5" i="16"/>
  <c r="O30" i="16"/>
  <c r="L30" i="16"/>
  <c r="O38" i="16"/>
  <c r="L38" i="16"/>
  <c r="O46" i="16"/>
  <c r="L46" i="16"/>
  <c r="O48" i="16"/>
  <c r="O3" i="16"/>
  <c r="L23" i="16"/>
  <c r="O32" i="16"/>
  <c r="O40" i="16"/>
  <c r="E53" i="16"/>
  <c r="O53" i="16" s="1"/>
  <c r="O55" i="16"/>
  <c r="L55" i="16"/>
  <c r="O64" i="16"/>
  <c r="L64" i="16"/>
  <c r="E69" i="16"/>
  <c r="O69" i="16" s="1"/>
  <c r="O71" i="16"/>
  <c r="L71" i="16"/>
  <c r="L13" i="16"/>
  <c r="O13" i="16"/>
  <c r="O62" i="16"/>
  <c r="L62" i="16"/>
  <c r="O9" i="16"/>
  <c r="L9" i="16"/>
  <c r="L22" i="16"/>
  <c r="L48" i="16"/>
  <c r="O80" i="16"/>
  <c r="O88" i="16"/>
  <c r="O87" i="16"/>
  <c r="O78" i="16"/>
  <c r="O86" i="16"/>
  <c r="O77" i="16"/>
  <c r="L80" i="16"/>
  <c r="O85" i="16"/>
  <c r="L88" i="16"/>
  <c r="O93" i="16"/>
  <c r="O52" i="16"/>
  <c r="O68" i="16"/>
  <c r="O76" i="16"/>
  <c r="O84" i="16"/>
  <c r="O7" i="16"/>
  <c r="O27" i="16"/>
  <c r="O35" i="16"/>
  <c r="O43" i="16"/>
  <c r="O51" i="16"/>
  <c r="O59" i="16"/>
  <c r="O75" i="16"/>
  <c r="O83" i="16"/>
  <c r="O26" i="16"/>
  <c r="O60" i="16"/>
  <c r="L87" i="16"/>
  <c r="O92" i="16"/>
  <c r="O67" i="16"/>
  <c r="L78" i="16"/>
  <c r="L86" i="16"/>
  <c r="O91" i="16"/>
  <c r="O6" i="16"/>
  <c r="O34" i="16"/>
  <c r="O42" i="16"/>
  <c r="L45" i="16"/>
  <c r="O50" i="16"/>
  <c r="L53" i="16"/>
  <c r="O58" i="16"/>
  <c r="L61" i="16"/>
  <c r="O66" i="16"/>
  <c r="L69" i="16"/>
  <c r="O74" i="16"/>
  <c r="L77" i="16"/>
  <c r="O82" i="16"/>
  <c r="L85" i="16"/>
  <c r="O90" i="16"/>
  <c r="L93" i="16"/>
  <c r="L8" i="16"/>
  <c r="L15" i="16"/>
  <c r="O25" i="16"/>
  <c r="L28" i="16"/>
  <c r="O33" i="16"/>
  <c r="L36" i="16"/>
  <c r="O41" i="16"/>
  <c r="L44" i="16"/>
  <c r="O49" i="16"/>
  <c r="L52" i="16"/>
  <c r="O57" i="16"/>
  <c r="L60" i="16"/>
  <c r="O65" i="16"/>
  <c r="L68" i="16"/>
  <c r="O73" i="16"/>
  <c r="L76" i="16"/>
  <c r="O81" i="16"/>
  <c r="L84" i="16"/>
  <c r="O89" i="16"/>
  <c r="L92" i="16"/>
  <c r="O2" i="3"/>
  <c r="M2" i="16" l="1"/>
  <c r="Q3" i="16"/>
  <c r="P3" i="16"/>
  <c r="Q21" i="3"/>
  <c r="Q20" i="3"/>
  <c r="Q16" i="3"/>
  <c r="Q15" i="3"/>
  <c r="Q11" i="3"/>
  <c r="Q10" i="3"/>
  <c r="Q5" i="3"/>
  <c r="P5" i="3"/>
  <c r="D3" i="3"/>
  <c r="E3" i="3" s="1"/>
  <c r="O3" i="3" s="1"/>
  <c r="E4" i="3"/>
  <c r="O4" i="3" s="1"/>
  <c r="D5" i="3"/>
  <c r="E5" i="3" s="1"/>
  <c r="O5" i="3" s="1"/>
  <c r="D6" i="3"/>
  <c r="E6" i="3" s="1"/>
  <c r="O6" i="3" s="1"/>
  <c r="D7" i="3"/>
  <c r="E7" i="3" s="1"/>
  <c r="O7" i="3" s="1"/>
  <c r="D8" i="3"/>
  <c r="E8" i="3" s="1"/>
  <c r="O8" i="3" s="1"/>
  <c r="D9" i="3"/>
  <c r="E9" i="3" s="1"/>
  <c r="O9" i="3" s="1"/>
  <c r="D10" i="3"/>
  <c r="E10" i="3" s="1"/>
  <c r="O10" i="3" s="1"/>
  <c r="D11" i="3"/>
  <c r="E11" i="3" s="1"/>
  <c r="O11" i="3" s="1"/>
  <c r="D12" i="3"/>
  <c r="E12" i="3" s="1"/>
  <c r="O12" i="3" s="1"/>
  <c r="D13" i="3"/>
  <c r="E13" i="3" s="1"/>
  <c r="O13" i="3" s="1"/>
  <c r="D14" i="3"/>
  <c r="E14" i="3" s="1"/>
  <c r="O14" i="3" s="1"/>
  <c r="D15" i="3"/>
  <c r="E15" i="3" s="1"/>
  <c r="O15" i="3" s="1"/>
  <c r="D16" i="3"/>
  <c r="E16" i="3" s="1"/>
  <c r="O16" i="3" s="1"/>
  <c r="D17" i="3"/>
  <c r="E17" i="3" s="1"/>
  <c r="O17" i="3" s="1"/>
  <c r="D18" i="3"/>
  <c r="E18" i="3" s="1"/>
  <c r="O18" i="3" s="1"/>
  <c r="D19" i="3"/>
  <c r="E19" i="3" s="1"/>
  <c r="O19" i="3" s="1"/>
  <c r="D20" i="3"/>
  <c r="E20" i="3" s="1"/>
  <c r="O20" i="3" s="1"/>
  <c r="D21" i="3"/>
  <c r="E21" i="3" s="1"/>
  <c r="O21" i="3" s="1"/>
  <c r="D22" i="3"/>
  <c r="E22" i="3" s="1"/>
  <c r="O22" i="3" s="1"/>
  <c r="D23" i="3"/>
  <c r="E23" i="3" s="1"/>
  <c r="O23" i="3" s="1"/>
  <c r="D24" i="3"/>
  <c r="E24" i="3" s="1"/>
  <c r="O24" i="3" s="1"/>
  <c r="D25" i="3"/>
  <c r="E25" i="3" s="1"/>
  <c r="O25" i="3" s="1"/>
  <c r="D26" i="3"/>
  <c r="E26" i="3" s="1"/>
  <c r="O26" i="3" s="1"/>
  <c r="D27" i="3"/>
  <c r="E27" i="3" s="1"/>
  <c r="O27" i="3" s="1"/>
  <c r="D28" i="3"/>
  <c r="E28" i="3" s="1"/>
  <c r="O28" i="3" s="1"/>
  <c r="D29" i="3"/>
  <c r="E29" i="3" s="1"/>
  <c r="O29" i="3" s="1"/>
  <c r="D30" i="3"/>
  <c r="E30" i="3" s="1"/>
  <c r="O30" i="3" s="1"/>
  <c r="D31" i="3"/>
  <c r="E31" i="3" s="1"/>
  <c r="O31" i="3" s="1"/>
  <c r="D32" i="3"/>
  <c r="E32" i="3" s="1"/>
  <c r="O32" i="3" s="1"/>
  <c r="D33" i="3"/>
  <c r="E33" i="3" s="1"/>
  <c r="O33" i="3" s="1"/>
  <c r="D34" i="3"/>
  <c r="E34" i="3" s="1"/>
  <c r="O34" i="3" s="1"/>
  <c r="D35" i="3"/>
  <c r="E35" i="3" s="1"/>
  <c r="O35" i="3" s="1"/>
  <c r="D36" i="3"/>
  <c r="E36" i="3" s="1"/>
  <c r="O36" i="3" s="1"/>
  <c r="D37" i="3"/>
  <c r="E37" i="3" s="1"/>
  <c r="O37" i="3" s="1"/>
  <c r="D38" i="3"/>
  <c r="E38" i="3" s="1"/>
  <c r="O38" i="3" s="1"/>
  <c r="D39" i="3"/>
  <c r="E39" i="3" s="1"/>
  <c r="O39" i="3" s="1"/>
  <c r="D40" i="3"/>
  <c r="E40" i="3" s="1"/>
  <c r="O40" i="3" s="1"/>
  <c r="D41" i="3"/>
  <c r="E41" i="3" s="1"/>
  <c r="O41" i="3" s="1"/>
  <c r="D42" i="3"/>
  <c r="E42" i="3" s="1"/>
  <c r="O42" i="3" s="1"/>
  <c r="D43" i="3"/>
  <c r="E43" i="3" s="1"/>
  <c r="O43" i="3" s="1"/>
  <c r="D44" i="3"/>
  <c r="E44" i="3" s="1"/>
  <c r="O44" i="3" s="1"/>
  <c r="D45" i="3"/>
  <c r="E45" i="3" s="1"/>
  <c r="O45" i="3" s="1"/>
  <c r="D46" i="3"/>
  <c r="E46" i="3" s="1"/>
  <c r="O46" i="3" s="1"/>
  <c r="D47" i="3"/>
  <c r="E47" i="3" s="1"/>
  <c r="O47" i="3" s="1"/>
  <c r="D48" i="3"/>
  <c r="E48" i="3" s="1"/>
  <c r="O48" i="3" s="1"/>
  <c r="D49" i="3"/>
  <c r="E49" i="3" s="1"/>
  <c r="O49" i="3" s="1"/>
  <c r="D50" i="3"/>
  <c r="E50" i="3" s="1"/>
  <c r="O50" i="3" s="1"/>
  <c r="D51" i="3"/>
  <c r="E51" i="3" s="1"/>
  <c r="O51" i="3" s="1"/>
  <c r="D52" i="3"/>
  <c r="E52" i="3" s="1"/>
  <c r="O52" i="3" s="1"/>
  <c r="D53" i="3"/>
  <c r="E53" i="3" s="1"/>
  <c r="O53" i="3" s="1"/>
  <c r="D54" i="3"/>
  <c r="E54" i="3" s="1"/>
  <c r="O54" i="3" s="1"/>
  <c r="D55" i="3"/>
  <c r="E55" i="3" s="1"/>
  <c r="O55" i="3" s="1"/>
  <c r="D56" i="3"/>
  <c r="E56" i="3" s="1"/>
  <c r="O56" i="3" s="1"/>
  <c r="D57" i="3"/>
  <c r="E57" i="3" s="1"/>
  <c r="O57" i="3" s="1"/>
  <c r="D58" i="3"/>
  <c r="E58" i="3" s="1"/>
  <c r="O58" i="3" s="1"/>
  <c r="D59" i="3"/>
  <c r="E59" i="3" s="1"/>
  <c r="O59" i="3" s="1"/>
  <c r="D60" i="3"/>
  <c r="E60" i="3" s="1"/>
  <c r="O60" i="3" s="1"/>
  <c r="D61" i="3"/>
  <c r="E61" i="3" s="1"/>
  <c r="O61" i="3" s="1"/>
  <c r="D62" i="3"/>
  <c r="E62" i="3" s="1"/>
  <c r="O62" i="3" s="1"/>
  <c r="D63" i="3"/>
  <c r="E63" i="3" s="1"/>
  <c r="O63" i="3" s="1"/>
  <c r="D64" i="3"/>
  <c r="E64" i="3" s="1"/>
  <c r="O64" i="3" s="1"/>
  <c r="D65" i="3"/>
  <c r="E65" i="3" s="1"/>
  <c r="O65" i="3" s="1"/>
  <c r="D66" i="3"/>
  <c r="E66" i="3" s="1"/>
  <c r="O66" i="3" s="1"/>
  <c r="D67" i="3"/>
  <c r="E67" i="3" s="1"/>
  <c r="O67" i="3" s="1"/>
  <c r="D68" i="3"/>
  <c r="E68" i="3" s="1"/>
  <c r="O68" i="3" s="1"/>
  <c r="D69" i="3"/>
  <c r="E69" i="3" s="1"/>
  <c r="O69" i="3" s="1"/>
  <c r="D70" i="3"/>
  <c r="E70" i="3" s="1"/>
  <c r="O70" i="3" s="1"/>
  <c r="D71" i="3"/>
  <c r="E71" i="3" s="1"/>
  <c r="O71" i="3" s="1"/>
  <c r="D72" i="3"/>
  <c r="E72" i="3" s="1"/>
  <c r="O72" i="3" s="1"/>
  <c r="D73" i="3"/>
  <c r="E73" i="3" s="1"/>
  <c r="O73" i="3" s="1"/>
  <c r="D74" i="3"/>
  <c r="E74" i="3" s="1"/>
  <c r="O74" i="3" s="1"/>
  <c r="D75" i="3"/>
  <c r="E75" i="3" s="1"/>
  <c r="O75" i="3" s="1"/>
  <c r="D76" i="3"/>
  <c r="E76" i="3" s="1"/>
  <c r="O76" i="3" s="1"/>
  <c r="D77" i="3"/>
  <c r="E77" i="3" s="1"/>
  <c r="O77" i="3" s="1"/>
  <c r="D78" i="3"/>
  <c r="E78" i="3" s="1"/>
  <c r="O78" i="3" s="1"/>
  <c r="D79" i="3"/>
  <c r="E79" i="3" s="1"/>
  <c r="O79" i="3" s="1"/>
  <c r="D80" i="3"/>
  <c r="E80" i="3" s="1"/>
  <c r="O80" i="3" s="1"/>
  <c r="D81" i="3"/>
  <c r="E81" i="3" s="1"/>
  <c r="O81" i="3" s="1"/>
  <c r="D82" i="3"/>
  <c r="E82" i="3" s="1"/>
  <c r="O82" i="3" s="1"/>
  <c r="D83" i="3"/>
  <c r="E83" i="3" s="1"/>
  <c r="O83" i="3" s="1"/>
  <c r="D84" i="3"/>
  <c r="E84" i="3" s="1"/>
  <c r="O84" i="3" s="1"/>
  <c r="D85" i="3"/>
  <c r="E85" i="3" s="1"/>
  <c r="O85" i="3" s="1"/>
  <c r="D86" i="3"/>
  <c r="E86" i="3" s="1"/>
  <c r="O86" i="3" s="1"/>
  <c r="D87" i="3"/>
  <c r="E87" i="3" s="1"/>
  <c r="O87" i="3" s="1"/>
  <c r="D88" i="3"/>
  <c r="E88" i="3" s="1"/>
  <c r="O88" i="3" s="1"/>
  <c r="D89" i="3"/>
  <c r="E89" i="3" s="1"/>
  <c r="O89" i="3" s="1"/>
  <c r="D90" i="3"/>
  <c r="E90" i="3" s="1"/>
  <c r="O90" i="3" s="1"/>
  <c r="D91" i="3"/>
  <c r="E91" i="3" s="1"/>
  <c r="O91" i="3" s="1"/>
  <c r="D92" i="3"/>
  <c r="E92" i="3" s="1"/>
  <c r="O92" i="3" s="1"/>
  <c r="D93" i="3"/>
  <c r="E93" i="3" s="1"/>
  <c r="O93" i="3" s="1"/>
  <c r="E2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L42" i="3" s="1"/>
  <c r="K43" i="3"/>
  <c r="K44" i="3"/>
  <c r="K45" i="3"/>
  <c r="K46" i="3"/>
  <c r="K47" i="3"/>
  <c r="K48" i="3"/>
  <c r="K49" i="3"/>
  <c r="K50" i="3"/>
  <c r="L50" i="3" s="1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L66" i="3" s="1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L82" i="3" s="1"/>
  <c r="K83" i="3"/>
  <c r="K84" i="3"/>
  <c r="K85" i="3"/>
  <c r="K86" i="3"/>
  <c r="K87" i="3"/>
  <c r="K88" i="3"/>
  <c r="K89" i="3"/>
  <c r="K90" i="3"/>
  <c r="L90" i="3" s="1"/>
  <c r="K91" i="3"/>
  <c r="K92" i="3"/>
  <c r="K93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B34" i="3"/>
  <c r="B35" i="3"/>
  <c r="B36" i="3"/>
  <c r="B37" i="3"/>
  <c r="B38" i="3"/>
  <c r="B39" i="3"/>
  <c r="L39" i="3" s="1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L55" i="3" s="1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L71" i="3" s="1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2" i="3"/>
  <c r="B3" i="3"/>
  <c r="B4" i="3"/>
  <c r="B5" i="3"/>
  <c r="B6" i="3"/>
  <c r="B7" i="3"/>
  <c r="B8" i="3"/>
  <c r="L8" i="3" s="1"/>
  <c r="B9" i="3"/>
  <c r="B10" i="3"/>
  <c r="B11" i="3"/>
  <c r="B12" i="3"/>
  <c r="B13" i="3"/>
  <c r="B14" i="3"/>
  <c r="B15" i="3"/>
  <c r="L15" i="3" s="1"/>
  <c r="B16" i="3"/>
  <c r="L16" i="3" s="1"/>
  <c r="B17" i="3"/>
  <c r="B18" i="3"/>
  <c r="B19" i="3"/>
  <c r="B20" i="3"/>
  <c r="B21" i="3"/>
  <c r="B22" i="3"/>
  <c r="B23" i="3"/>
  <c r="B24" i="3"/>
  <c r="L24" i="3" s="1"/>
  <c r="B25" i="3"/>
  <c r="B26" i="3"/>
  <c r="B27" i="3"/>
  <c r="B28" i="3"/>
  <c r="B29" i="3"/>
  <c r="B30" i="3"/>
  <c r="B31" i="3"/>
  <c r="L31" i="3" s="1"/>
  <c r="B32" i="3"/>
  <c r="L32" i="3" s="1"/>
  <c r="B33" i="3"/>
  <c r="B2" i="3"/>
  <c r="P3" i="3" l="1"/>
  <c r="L76" i="3"/>
  <c r="L4" i="3"/>
  <c r="L92" i="3"/>
  <c r="L84" i="3"/>
  <c r="L60" i="3"/>
  <c r="L28" i="3"/>
  <c r="L11" i="3"/>
  <c r="L19" i="3"/>
  <c r="L3" i="3"/>
  <c r="Q3" i="3"/>
  <c r="L79" i="3"/>
  <c r="L51" i="3"/>
  <c r="L67" i="3"/>
  <c r="L43" i="3"/>
  <c r="L83" i="3"/>
  <c r="L35" i="3"/>
  <c r="L91" i="3"/>
  <c r="L27" i="3"/>
  <c r="L75" i="3"/>
  <c r="L59" i="3"/>
  <c r="L26" i="3"/>
  <c r="L46" i="3"/>
  <c r="L18" i="3"/>
  <c r="L78" i="3"/>
  <c r="L70" i="3"/>
  <c r="L54" i="3"/>
  <c r="L38" i="3"/>
  <c r="L30" i="3"/>
  <c r="L14" i="3"/>
  <c r="L89" i="3"/>
  <c r="L81" i="3"/>
  <c r="L65" i="3"/>
  <c r="L57" i="3"/>
  <c r="L41" i="3"/>
  <c r="L25" i="3"/>
  <c r="L17" i="3"/>
  <c r="L9" i="3"/>
  <c r="L80" i="3"/>
  <c r="L64" i="3"/>
  <c r="L56" i="3"/>
  <c r="L40" i="3"/>
  <c r="L93" i="3"/>
  <c r="L77" i="3"/>
  <c r="L69" i="3"/>
  <c r="L61" i="3"/>
  <c r="L53" i="3"/>
  <c r="L29" i="3"/>
  <c r="L13" i="3"/>
  <c r="L37" i="3"/>
  <c r="L52" i="3"/>
  <c r="L44" i="3"/>
  <c r="L36" i="3"/>
  <c r="L20" i="3"/>
  <c r="L12" i="3"/>
  <c r="L68" i="3"/>
  <c r="L34" i="3"/>
  <c r="L10" i="3"/>
  <c r="L73" i="3"/>
  <c r="L49" i="3"/>
  <c r="L33" i="3"/>
  <c r="L88" i="3"/>
  <c r="L72" i="3"/>
  <c r="L48" i="3"/>
  <c r="L7" i="3"/>
  <c r="L74" i="3"/>
  <c r="L87" i="3"/>
  <c r="L63" i="3"/>
  <c r="L58" i="3"/>
  <c r="L47" i="3"/>
  <c r="L86" i="3"/>
  <c r="L22" i="3"/>
  <c r="L21" i="3"/>
  <c r="L23" i="3"/>
  <c r="L62" i="3"/>
  <c r="L6" i="3"/>
  <c r="L85" i="3"/>
  <c r="L45" i="3"/>
  <c r="L5" i="3"/>
  <c r="M2" i="3" l="1"/>
  <c r="AA31" i="1"/>
  <c r="AA32" i="1" s="1"/>
  <c r="AA26" i="1"/>
  <c r="AA27" i="1" s="1"/>
  <c r="AA21" i="1"/>
  <c r="AA22" i="1" s="1"/>
  <c r="AA16" i="1"/>
  <c r="AA17" i="1" s="1"/>
  <c r="AA11" i="1"/>
  <c r="AA12" i="1" s="1"/>
  <c r="T21" i="2"/>
  <c r="T22" i="2" s="1"/>
  <c r="T16" i="2"/>
  <c r="T17" i="2" s="1"/>
  <c r="T11" i="2"/>
  <c r="T12" i="2" s="1"/>
  <c r="T6" i="2" l="1"/>
  <c r="U6" i="2"/>
  <c r="S6" i="2"/>
  <c r="J4" i="2"/>
  <c r="J5" i="2"/>
  <c r="L5" i="2" s="1"/>
  <c r="J6" i="2"/>
  <c r="J7" i="2"/>
  <c r="L7" i="2" s="1"/>
  <c r="J8" i="2"/>
  <c r="J9" i="2"/>
  <c r="L9" i="2" s="1"/>
  <c r="J10" i="2"/>
  <c r="J11" i="2"/>
  <c r="L11" i="2" s="1"/>
  <c r="J12" i="2"/>
  <c r="J13" i="2"/>
  <c r="L13" i="2" s="1"/>
  <c r="J14" i="2"/>
  <c r="L14" i="2" s="1"/>
  <c r="J15" i="2"/>
  <c r="L15" i="2" s="1"/>
  <c r="J16" i="2"/>
  <c r="J17" i="2"/>
  <c r="J18" i="2"/>
  <c r="J19" i="2"/>
  <c r="L19" i="2" s="1"/>
  <c r="J20" i="2"/>
  <c r="J21" i="2"/>
  <c r="L21" i="2" s="1"/>
  <c r="J22" i="2"/>
  <c r="L22" i="2" s="1"/>
  <c r="J23" i="2"/>
  <c r="L23" i="2" s="1"/>
  <c r="J24" i="2"/>
  <c r="J25" i="2"/>
  <c r="L25" i="2" s="1"/>
  <c r="J26" i="2"/>
  <c r="L26" i="2" s="1"/>
  <c r="J27" i="2"/>
  <c r="L27" i="2" s="1"/>
  <c r="J28" i="2"/>
  <c r="L28" i="2" s="1"/>
  <c r="J29" i="2"/>
  <c r="L29" i="2" s="1"/>
  <c r="J30" i="2"/>
  <c r="L30" i="2" s="1"/>
  <c r="J31" i="2"/>
  <c r="L31" i="2" s="1"/>
  <c r="J32" i="2"/>
  <c r="L32" i="2" s="1"/>
  <c r="J33" i="2"/>
  <c r="J34" i="2"/>
  <c r="L34" i="2" s="1"/>
  <c r="J35" i="2"/>
  <c r="L35" i="2" s="1"/>
  <c r="J36" i="2"/>
  <c r="L36" i="2" s="1"/>
  <c r="J37" i="2"/>
  <c r="L37" i="2" s="1"/>
  <c r="J38" i="2"/>
  <c r="L38" i="2" s="1"/>
  <c r="J39" i="2"/>
  <c r="L39" i="2" s="1"/>
  <c r="J40" i="2"/>
  <c r="L40" i="2" s="1"/>
  <c r="J41" i="2"/>
  <c r="L41" i="2" s="1"/>
  <c r="J42" i="2"/>
  <c r="J43" i="2"/>
  <c r="L43" i="2" s="1"/>
  <c r="J44" i="2"/>
  <c r="L44" i="2" s="1"/>
  <c r="J45" i="2"/>
  <c r="J46" i="2"/>
  <c r="L46" i="2" s="1"/>
  <c r="J47" i="2"/>
  <c r="L47" i="2" s="1"/>
  <c r="J48" i="2"/>
  <c r="L48" i="2" s="1"/>
  <c r="J49" i="2"/>
  <c r="J50" i="2"/>
  <c r="J51" i="2"/>
  <c r="J52" i="2"/>
  <c r="J53" i="2"/>
  <c r="L53" i="2" s="1"/>
  <c r="J54" i="2"/>
  <c r="J55" i="2"/>
  <c r="J56" i="2"/>
  <c r="J57" i="2"/>
  <c r="L57" i="2" s="1"/>
  <c r="J58" i="2"/>
  <c r="J59" i="2"/>
  <c r="L59" i="2" s="1"/>
  <c r="J60" i="2"/>
  <c r="L60" i="2" s="1"/>
  <c r="J61" i="2"/>
  <c r="L61" i="2" s="1"/>
  <c r="J62" i="2"/>
  <c r="L62" i="2" s="1"/>
  <c r="J63" i="2"/>
  <c r="J64" i="2"/>
  <c r="L64" i="2" s="1"/>
  <c r="J65" i="2"/>
  <c r="L65" i="2" s="1"/>
  <c r="J66" i="2"/>
  <c r="J67" i="2"/>
  <c r="L67" i="2" s="1"/>
  <c r="J68" i="2"/>
  <c r="L68" i="2" s="1"/>
  <c r="J69" i="2"/>
  <c r="J70" i="2"/>
  <c r="L70" i="2" s="1"/>
  <c r="J71" i="2"/>
  <c r="L71" i="2" s="1"/>
  <c r="J72" i="2"/>
  <c r="L72" i="2" s="1"/>
  <c r="J73" i="2"/>
  <c r="J74" i="2"/>
  <c r="L74" i="2" s="1"/>
  <c r="J75" i="2"/>
  <c r="I4" i="2"/>
  <c r="L4" i="2" s="1"/>
  <c r="I5" i="2"/>
  <c r="K5" i="2" s="1"/>
  <c r="I6" i="2"/>
  <c r="I7" i="2"/>
  <c r="K7" i="2" s="1"/>
  <c r="I8" i="2"/>
  <c r="L8" i="2" s="1"/>
  <c r="I9" i="2"/>
  <c r="K9" i="2" s="1"/>
  <c r="I10" i="2"/>
  <c r="K10" i="2" s="1"/>
  <c r="L10" i="2" s="1"/>
  <c r="I11" i="2"/>
  <c r="I12" i="2"/>
  <c r="L12" i="2" s="1"/>
  <c r="I13" i="2"/>
  <c r="K13" i="2" s="1"/>
  <c r="I14" i="2"/>
  <c r="K14" i="2" s="1"/>
  <c r="I15" i="2"/>
  <c r="K15" i="2" s="1"/>
  <c r="I16" i="2"/>
  <c r="L16" i="2" s="1"/>
  <c r="I17" i="2"/>
  <c r="I18" i="2"/>
  <c r="I19" i="2"/>
  <c r="K19" i="2" s="1"/>
  <c r="I20" i="2"/>
  <c r="L20" i="2" s="1"/>
  <c r="I21" i="2"/>
  <c r="K21" i="2" s="1"/>
  <c r="I22" i="2"/>
  <c r="K22" i="2" s="1"/>
  <c r="I23" i="2"/>
  <c r="K23" i="2" s="1"/>
  <c r="I24" i="2"/>
  <c r="L24" i="2" s="1"/>
  <c r="I25" i="2"/>
  <c r="K25" i="2" s="1"/>
  <c r="I26" i="2"/>
  <c r="K26" i="2" s="1"/>
  <c r="I27" i="2"/>
  <c r="K27" i="2" s="1"/>
  <c r="I28" i="2"/>
  <c r="K28" i="2" s="1"/>
  <c r="I29" i="2"/>
  <c r="I30" i="2"/>
  <c r="K30" i="2" s="1"/>
  <c r="I31" i="2"/>
  <c r="K31" i="2" s="1"/>
  <c r="I32" i="2"/>
  <c r="K32" i="2" s="1"/>
  <c r="I33" i="2"/>
  <c r="K33" i="2" s="1"/>
  <c r="L33" i="2" s="1"/>
  <c r="I34" i="2"/>
  <c r="K34" i="2" s="1"/>
  <c r="I35" i="2"/>
  <c r="K35" i="2" s="1"/>
  <c r="I36" i="2"/>
  <c r="K36" i="2" s="1"/>
  <c r="I37" i="2"/>
  <c r="K37" i="2" s="1"/>
  <c r="I38" i="2"/>
  <c r="K38" i="2" s="1"/>
  <c r="I39" i="2"/>
  <c r="I40" i="2"/>
  <c r="K40" i="2" s="1"/>
  <c r="I41" i="2"/>
  <c r="I42" i="2"/>
  <c r="K42" i="2" s="1"/>
  <c r="L42" i="2" s="1"/>
  <c r="I43" i="2"/>
  <c r="K43" i="2" s="1"/>
  <c r="I44" i="2"/>
  <c r="K44" i="2" s="1"/>
  <c r="I45" i="2"/>
  <c r="L45" i="2" s="1"/>
  <c r="I46" i="2"/>
  <c r="K46" i="2" s="1"/>
  <c r="I47" i="2"/>
  <c r="K47" i="2" s="1"/>
  <c r="I48" i="2"/>
  <c r="K48" i="2" s="1"/>
  <c r="I49" i="2"/>
  <c r="K49" i="2" s="1"/>
  <c r="L49" i="2" s="1"/>
  <c r="I50" i="2"/>
  <c r="I51" i="2"/>
  <c r="K51" i="2" s="1"/>
  <c r="L51" i="2" s="1"/>
  <c r="I52" i="2"/>
  <c r="L52" i="2" s="1"/>
  <c r="I53" i="2"/>
  <c r="K53" i="2" s="1"/>
  <c r="I54" i="2"/>
  <c r="I55" i="2"/>
  <c r="K55" i="2" s="1"/>
  <c r="L55" i="2" s="1"/>
  <c r="I56" i="2"/>
  <c r="I57" i="2"/>
  <c r="I58" i="2"/>
  <c r="I59" i="2"/>
  <c r="I60" i="2"/>
  <c r="I61" i="2"/>
  <c r="K61" i="2" s="1"/>
  <c r="I62" i="2"/>
  <c r="K62" i="2" s="1"/>
  <c r="I63" i="2"/>
  <c r="K63" i="2" s="1"/>
  <c r="L63" i="2" s="1"/>
  <c r="I64" i="2"/>
  <c r="K64" i="2" s="1"/>
  <c r="I65" i="2"/>
  <c r="K65" i="2" s="1"/>
  <c r="I66" i="2"/>
  <c r="I67" i="2"/>
  <c r="K67" i="2" s="1"/>
  <c r="I68" i="2"/>
  <c r="K68" i="2" s="1"/>
  <c r="I69" i="2"/>
  <c r="K69" i="2" s="1"/>
  <c r="L69" i="2" s="1"/>
  <c r="I70" i="2"/>
  <c r="K70" i="2" s="1"/>
  <c r="I71" i="2"/>
  <c r="K71" i="2" s="1"/>
  <c r="I72" i="2"/>
  <c r="K72" i="2" s="1"/>
  <c r="I73" i="2"/>
  <c r="I74" i="2"/>
  <c r="K74" i="2" s="1"/>
  <c r="I75" i="2"/>
  <c r="K75" i="2" s="1"/>
  <c r="L75" i="2" s="1"/>
  <c r="J3" i="2"/>
  <c r="AA6" i="1"/>
  <c r="AB6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V3" i="1"/>
  <c r="R4" i="1"/>
  <c r="R5" i="1"/>
  <c r="R6" i="1"/>
  <c r="R7" i="1"/>
  <c r="R8" i="1"/>
  <c r="R9" i="1"/>
  <c r="R10" i="1"/>
  <c r="R11" i="1"/>
  <c r="U11" i="1" s="1"/>
  <c r="V11" i="1" s="1"/>
  <c r="R12" i="1"/>
  <c r="R13" i="1"/>
  <c r="U13" i="1" s="1"/>
  <c r="V13" i="1" s="1"/>
  <c r="R14" i="1"/>
  <c r="R15" i="1"/>
  <c r="R16" i="1"/>
  <c r="R17" i="1"/>
  <c r="U17" i="1" s="1"/>
  <c r="V17" i="1" s="1"/>
  <c r="R18" i="1"/>
  <c r="R19" i="1"/>
  <c r="R20" i="1"/>
  <c r="R21" i="1"/>
  <c r="U21" i="1" s="1"/>
  <c r="V21" i="1" s="1"/>
  <c r="R22" i="1"/>
  <c r="R23" i="1"/>
  <c r="R24" i="1"/>
  <c r="U24" i="1" s="1"/>
  <c r="V24" i="1" s="1"/>
  <c r="R25" i="1"/>
  <c r="U25" i="1" s="1"/>
  <c r="V25" i="1" s="1"/>
  <c r="R26" i="1"/>
  <c r="R27" i="1"/>
  <c r="U27" i="1" s="1"/>
  <c r="V27" i="1" s="1"/>
  <c r="R28" i="1"/>
  <c r="U28" i="1" s="1"/>
  <c r="V28" i="1" s="1"/>
  <c r="R29" i="1"/>
  <c r="R30" i="1"/>
  <c r="R31" i="1"/>
  <c r="R32" i="1"/>
  <c r="U32" i="1" s="1"/>
  <c r="V32" i="1" s="1"/>
  <c r="K66" i="2" l="1"/>
  <c r="L66" i="2"/>
  <c r="K58" i="2"/>
  <c r="O58" i="2" s="1"/>
  <c r="P58" i="2" s="1"/>
  <c r="Q58" i="2" s="1"/>
  <c r="L58" i="2"/>
  <c r="K50" i="2"/>
  <c r="L50" i="2"/>
  <c r="K73" i="2"/>
  <c r="O73" i="2" s="1"/>
  <c r="P73" i="2" s="1"/>
  <c r="Q73" i="2" s="1"/>
  <c r="L73" i="2"/>
  <c r="K41" i="2"/>
  <c r="K17" i="2"/>
  <c r="L17" i="2"/>
  <c r="K18" i="2"/>
  <c r="O18" i="2" s="1"/>
  <c r="P18" i="2" s="1"/>
  <c r="Q18" i="2" s="1"/>
  <c r="L18" i="2"/>
  <c r="K54" i="2"/>
  <c r="L54" i="2" s="1"/>
  <c r="K39" i="2"/>
  <c r="U4" i="1"/>
  <c r="U30" i="1"/>
  <c r="V30" i="1" s="1"/>
  <c r="U18" i="1"/>
  <c r="V18" i="1" s="1"/>
  <c r="U31" i="1"/>
  <c r="V31" i="1" s="1"/>
  <c r="U23" i="1"/>
  <c r="V23" i="1" s="1"/>
  <c r="U7" i="1"/>
  <c r="V7" i="1" s="1"/>
  <c r="U5" i="1"/>
  <c r="V5" i="1" s="1"/>
  <c r="U26" i="1"/>
  <c r="V26" i="1" s="1"/>
  <c r="U22" i="1"/>
  <c r="V22" i="1" s="1"/>
  <c r="U14" i="1"/>
  <c r="V14" i="1" s="1"/>
  <c r="U10" i="1"/>
  <c r="V10" i="1" s="1"/>
  <c r="U6" i="1"/>
  <c r="V6" i="1" s="1"/>
  <c r="U20" i="1"/>
  <c r="V20" i="1" s="1"/>
  <c r="U16" i="1"/>
  <c r="V16" i="1" s="1"/>
  <c r="U12" i="1"/>
  <c r="V12" i="1" s="1"/>
  <c r="U8" i="1"/>
  <c r="V8" i="1" s="1"/>
  <c r="V4" i="1"/>
  <c r="U29" i="1"/>
  <c r="V29" i="1" s="1"/>
  <c r="U9" i="1"/>
  <c r="V9" i="1" s="1"/>
  <c r="U19" i="1"/>
  <c r="V19" i="1" s="1"/>
  <c r="U15" i="1"/>
  <c r="V15" i="1" s="1"/>
  <c r="J19" i="1"/>
  <c r="I19" i="1" s="1"/>
  <c r="Y19" i="1" s="1"/>
  <c r="J18" i="1"/>
  <c r="I18" i="1" s="1"/>
  <c r="Y18" i="1" s="1"/>
  <c r="J10" i="1"/>
  <c r="I10" i="1" s="1"/>
  <c r="Y10" i="1" s="1"/>
  <c r="J26" i="1"/>
  <c r="I26" i="1" s="1"/>
  <c r="Y26" i="1" s="1"/>
  <c r="J5" i="1"/>
  <c r="I5" i="1" s="1"/>
  <c r="Y5" i="1" s="1"/>
  <c r="J29" i="1"/>
  <c r="I29" i="1" s="1"/>
  <c r="Y29" i="1" s="1"/>
  <c r="J8" i="1"/>
  <c r="I8" i="1" s="1"/>
  <c r="Y8" i="1" s="1"/>
  <c r="J16" i="1"/>
  <c r="I16" i="1" s="1"/>
  <c r="Y16" i="1" s="1"/>
  <c r="J20" i="1"/>
  <c r="I20" i="1" s="1"/>
  <c r="Y20" i="1" s="1"/>
  <c r="K59" i="2"/>
  <c r="O59" i="2" s="1"/>
  <c r="P59" i="2" s="1"/>
  <c r="Q59" i="2" s="1"/>
  <c r="K56" i="2"/>
  <c r="L56" i="2" s="1"/>
  <c r="K11" i="2"/>
  <c r="O11" i="2" s="1"/>
  <c r="P11" i="2" s="1"/>
  <c r="Q11" i="2" s="1"/>
  <c r="K60" i="2"/>
  <c r="O60" i="2" s="1"/>
  <c r="P60" i="2" s="1"/>
  <c r="Q60" i="2" s="1"/>
  <c r="O70" i="2"/>
  <c r="P70" i="2" s="1"/>
  <c r="Q70" i="2" s="1"/>
  <c r="O62" i="2"/>
  <c r="P62" i="2" s="1"/>
  <c r="Q62" i="2" s="1"/>
  <c r="O54" i="2"/>
  <c r="P54" i="2" s="1"/>
  <c r="Q54" i="2" s="1"/>
  <c r="O46" i="2"/>
  <c r="P46" i="2" s="1"/>
  <c r="Q46" i="2" s="1"/>
  <c r="O38" i="2"/>
  <c r="P38" i="2" s="1"/>
  <c r="Q38" i="2" s="1"/>
  <c r="O30" i="2"/>
  <c r="P30" i="2" s="1"/>
  <c r="Q30" i="2" s="1"/>
  <c r="O22" i="2"/>
  <c r="P22" i="2" s="1"/>
  <c r="Q22" i="2" s="1"/>
  <c r="O14" i="2"/>
  <c r="P14" i="2" s="1"/>
  <c r="Q14" i="2" s="1"/>
  <c r="O69" i="2"/>
  <c r="P69" i="2" s="1"/>
  <c r="Q69" i="2" s="1"/>
  <c r="O61" i="2"/>
  <c r="P61" i="2" s="1"/>
  <c r="Q61" i="2" s="1"/>
  <c r="O53" i="2"/>
  <c r="P53" i="2" s="1"/>
  <c r="Q53" i="2" s="1"/>
  <c r="O37" i="2"/>
  <c r="P37" i="2" s="1"/>
  <c r="Q37" i="2" s="1"/>
  <c r="O21" i="2"/>
  <c r="P21" i="2" s="1"/>
  <c r="Q21" i="2" s="1"/>
  <c r="O13" i="2"/>
  <c r="P13" i="2" s="1"/>
  <c r="Q13" i="2" s="1"/>
  <c r="O5" i="2"/>
  <c r="P5" i="2" s="1"/>
  <c r="Q5" i="2" s="1"/>
  <c r="O68" i="2"/>
  <c r="P68" i="2" s="1"/>
  <c r="Q68" i="2" s="1"/>
  <c r="O44" i="2"/>
  <c r="P44" i="2" s="1"/>
  <c r="Q44" i="2" s="1"/>
  <c r="O36" i="2"/>
  <c r="P36" i="2" s="1"/>
  <c r="Q36" i="2" s="1"/>
  <c r="O28" i="2"/>
  <c r="P28" i="2" s="1"/>
  <c r="Q28" i="2" s="1"/>
  <c r="O75" i="2"/>
  <c r="P75" i="2" s="1"/>
  <c r="Q75" i="2" s="1"/>
  <c r="O67" i="2"/>
  <c r="P67" i="2" s="1"/>
  <c r="Q67" i="2" s="1"/>
  <c r="O51" i="2"/>
  <c r="P51" i="2" s="1"/>
  <c r="Q51" i="2" s="1"/>
  <c r="O43" i="2"/>
  <c r="P43" i="2" s="1"/>
  <c r="Q43" i="2" s="1"/>
  <c r="O35" i="2"/>
  <c r="P35" i="2" s="1"/>
  <c r="Q35" i="2" s="1"/>
  <c r="O27" i="2"/>
  <c r="P27" i="2" s="1"/>
  <c r="Q27" i="2" s="1"/>
  <c r="O19" i="2"/>
  <c r="P19" i="2" s="1"/>
  <c r="Q19" i="2" s="1"/>
  <c r="O74" i="2"/>
  <c r="P74" i="2" s="1"/>
  <c r="Q74" i="2" s="1"/>
  <c r="O66" i="2"/>
  <c r="P66" i="2" s="1"/>
  <c r="Q66" i="2" s="1"/>
  <c r="O50" i="2"/>
  <c r="P50" i="2" s="1"/>
  <c r="Q50" i="2" s="1"/>
  <c r="O42" i="2"/>
  <c r="P42" i="2" s="1"/>
  <c r="Q42" i="2" s="1"/>
  <c r="O34" i="2"/>
  <c r="P34" i="2" s="1"/>
  <c r="Q34" i="2" s="1"/>
  <c r="O26" i="2"/>
  <c r="P26" i="2" s="1"/>
  <c r="Q26" i="2" s="1"/>
  <c r="O10" i="2"/>
  <c r="P10" i="2" s="1"/>
  <c r="Q10" i="2" s="1"/>
  <c r="O65" i="2"/>
  <c r="P65" i="2" s="1"/>
  <c r="Q65" i="2" s="1"/>
  <c r="O49" i="2"/>
  <c r="P49" i="2" s="1"/>
  <c r="Q49" i="2" s="1"/>
  <c r="O41" i="2"/>
  <c r="P41" i="2" s="1"/>
  <c r="Q41" i="2" s="1"/>
  <c r="O33" i="2"/>
  <c r="P33" i="2" s="1"/>
  <c r="Q33" i="2" s="1"/>
  <c r="O25" i="2"/>
  <c r="P25" i="2" s="1"/>
  <c r="Q25" i="2" s="1"/>
  <c r="O17" i="2"/>
  <c r="P17" i="2" s="1"/>
  <c r="Q17" i="2" s="1"/>
  <c r="O9" i="2"/>
  <c r="P9" i="2" s="1"/>
  <c r="Q9" i="2" s="1"/>
  <c r="O72" i="2"/>
  <c r="P72" i="2" s="1"/>
  <c r="Q72" i="2" s="1"/>
  <c r="O64" i="2"/>
  <c r="P64" i="2" s="1"/>
  <c r="Q64" i="2" s="1"/>
  <c r="O56" i="2"/>
  <c r="P56" i="2" s="1"/>
  <c r="Q56" i="2" s="1"/>
  <c r="O48" i="2"/>
  <c r="P48" i="2" s="1"/>
  <c r="Q48" i="2" s="1"/>
  <c r="O40" i="2"/>
  <c r="P40" i="2" s="1"/>
  <c r="Q40" i="2" s="1"/>
  <c r="O32" i="2"/>
  <c r="P32" i="2" s="1"/>
  <c r="Q32" i="2" s="1"/>
  <c r="O71" i="2"/>
  <c r="P71" i="2" s="1"/>
  <c r="Q71" i="2" s="1"/>
  <c r="O63" i="2"/>
  <c r="P63" i="2" s="1"/>
  <c r="Q63" i="2" s="1"/>
  <c r="O55" i="2"/>
  <c r="P55" i="2" s="1"/>
  <c r="Q55" i="2" s="1"/>
  <c r="O47" i="2"/>
  <c r="P47" i="2" s="1"/>
  <c r="Q47" i="2" s="1"/>
  <c r="O39" i="2"/>
  <c r="P39" i="2" s="1"/>
  <c r="Q39" i="2" s="1"/>
  <c r="O31" i="2"/>
  <c r="P31" i="2" s="1"/>
  <c r="Q31" i="2" s="1"/>
  <c r="O23" i="2"/>
  <c r="P23" i="2" s="1"/>
  <c r="Q23" i="2" s="1"/>
  <c r="O15" i="2"/>
  <c r="P15" i="2" s="1"/>
  <c r="Q15" i="2" s="1"/>
  <c r="O7" i="2"/>
  <c r="P7" i="2" s="1"/>
  <c r="Q7" i="2" s="1"/>
  <c r="J9" i="1"/>
  <c r="I9" i="1" s="1"/>
  <c r="Y9" i="1" s="1"/>
  <c r="J31" i="1"/>
  <c r="I31" i="1" s="1"/>
  <c r="Y31" i="1" s="1"/>
  <c r="J23" i="1"/>
  <c r="I23" i="1" s="1"/>
  <c r="Y23" i="1" s="1"/>
  <c r="J15" i="1"/>
  <c r="I15" i="1" s="1"/>
  <c r="Y15" i="1" s="1"/>
  <c r="J7" i="1"/>
  <c r="I7" i="1" s="1"/>
  <c r="Y7" i="1" s="1"/>
  <c r="J30" i="1"/>
  <c r="I30" i="1" s="1"/>
  <c r="Y30" i="1" s="1"/>
  <c r="J22" i="1"/>
  <c r="I22" i="1" s="1"/>
  <c r="Y22" i="1" s="1"/>
  <c r="J14" i="1"/>
  <c r="I14" i="1" s="1"/>
  <c r="Y14" i="1" s="1"/>
  <c r="J6" i="1"/>
  <c r="I6" i="1" s="1"/>
  <c r="Y6" i="1" s="1"/>
  <c r="J12" i="1"/>
  <c r="I12" i="1" s="1"/>
  <c r="Y12" i="1" s="1"/>
  <c r="J4" i="1"/>
  <c r="J3" i="1"/>
  <c r="J21" i="1"/>
  <c r="I21" i="1" s="1"/>
  <c r="Y21" i="1" s="1"/>
  <c r="J13" i="1"/>
  <c r="I13" i="1" s="1"/>
  <c r="Y13" i="1" s="1"/>
  <c r="J28" i="1"/>
  <c r="I28" i="1" s="1"/>
  <c r="Y28" i="1" s="1"/>
  <c r="J27" i="1"/>
  <c r="I27" i="1" s="1"/>
  <c r="Y27" i="1" s="1"/>
  <c r="J11" i="1"/>
  <c r="I11" i="1" s="1"/>
  <c r="Y11" i="1" s="1"/>
  <c r="J25" i="1"/>
  <c r="I25" i="1" s="1"/>
  <c r="Y25" i="1" s="1"/>
  <c r="J17" i="1"/>
  <c r="I17" i="1" s="1"/>
  <c r="Y17" i="1" s="1"/>
  <c r="J32" i="1"/>
  <c r="I32" i="1" s="1"/>
  <c r="Y32" i="1" s="1"/>
  <c r="J24" i="1"/>
  <c r="I24" i="1" s="1"/>
  <c r="Y24" i="1" s="1"/>
  <c r="K29" i="2"/>
  <c r="O29" i="2" s="1"/>
  <c r="P29" i="2" s="1"/>
  <c r="Q29" i="2" s="1"/>
  <c r="K6" i="2"/>
  <c r="L6" i="2" s="1"/>
  <c r="K57" i="2"/>
  <c r="O57" i="2" s="1"/>
  <c r="P57" i="2" s="1"/>
  <c r="Q57" i="2" s="1"/>
  <c r="K24" i="2"/>
  <c r="O24" i="2" s="1"/>
  <c r="P24" i="2" s="1"/>
  <c r="Q24" i="2" s="1"/>
  <c r="K16" i="2"/>
  <c r="O16" i="2" s="1"/>
  <c r="P16" i="2" s="1"/>
  <c r="Q16" i="2" s="1"/>
  <c r="K8" i="2"/>
  <c r="O8" i="2" s="1"/>
  <c r="P8" i="2" s="1"/>
  <c r="Q8" i="2" s="1"/>
  <c r="K45" i="2"/>
  <c r="O45" i="2" s="1"/>
  <c r="P45" i="2" s="1"/>
  <c r="Q45" i="2" s="1"/>
  <c r="K3" i="2"/>
  <c r="O3" i="2" s="1"/>
  <c r="P3" i="2" s="1"/>
  <c r="Q3" i="2" s="1"/>
  <c r="K52" i="2"/>
  <c r="O52" i="2" s="1"/>
  <c r="P52" i="2" s="1"/>
  <c r="Q52" i="2" s="1"/>
  <c r="K20" i="2"/>
  <c r="O20" i="2" s="1"/>
  <c r="P20" i="2" s="1"/>
  <c r="Q20" i="2" s="1"/>
  <c r="K12" i="2"/>
  <c r="O12" i="2" s="1"/>
  <c r="P12" i="2" s="1"/>
  <c r="Q12" i="2" s="1"/>
  <c r="K4" i="2"/>
  <c r="O4" i="2" s="1"/>
  <c r="P4" i="2" s="1"/>
  <c r="Q4" i="2" s="1"/>
  <c r="M3" i="2" l="1"/>
  <c r="S3" i="2"/>
  <c r="W3" i="1"/>
  <c r="I3" i="1"/>
  <c r="AB3" i="1" s="1"/>
  <c r="I4" i="1"/>
  <c r="Y4" i="1" s="1"/>
  <c r="T3" i="2"/>
  <c r="O6" i="2"/>
  <c r="P6" i="2" s="1"/>
  <c r="Q6" i="2" s="1"/>
  <c r="U3" i="2" s="1"/>
</calcChain>
</file>

<file path=xl/sharedStrings.xml><?xml version="1.0" encoding="utf-8"?>
<sst xmlns="http://schemas.openxmlformats.org/spreadsheetml/2006/main" count="644" uniqueCount="120">
  <si>
    <t>Disciplina</t>
  </si>
  <si>
    <t>MétodoEnsino</t>
  </si>
  <si>
    <t>Idade</t>
  </si>
  <si>
    <t>matemática</t>
  </si>
  <si>
    <t>debate</t>
  </si>
  <si>
    <t>ciências</t>
  </si>
  <si>
    <t>palestra</t>
  </si>
  <si>
    <t>artes</t>
  </si>
  <si>
    <t>ME</t>
  </si>
  <si>
    <t>Máximo</t>
  </si>
  <si>
    <t>R²(McFadden)</t>
  </si>
  <si>
    <t>Peso</t>
  </si>
  <si>
    <t>Região</t>
  </si>
  <si>
    <t>NívelTóxico</t>
  </si>
  <si>
    <t>B0</t>
  </si>
  <si>
    <t>B1</t>
  </si>
  <si>
    <t>B2</t>
  </si>
  <si>
    <t>L</t>
  </si>
  <si>
    <t>Caso</t>
  </si>
  <si>
    <t>Ln</t>
  </si>
  <si>
    <t>D^</t>
  </si>
  <si>
    <t>Acertos</t>
  </si>
  <si>
    <t>Eq 1</t>
  </si>
  <si>
    <t>Eq 2</t>
  </si>
  <si>
    <t>Constante 1</t>
  </si>
  <si>
    <t>Constante 2</t>
  </si>
  <si>
    <t>Eq</t>
  </si>
  <si>
    <t>Sobrevivência Estimada</t>
  </si>
  <si>
    <t>Sobrevivência</t>
  </si>
  <si>
    <t>Contagem</t>
  </si>
  <si>
    <t>H0: Todas as Inclinações são Zero</t>
  </si>
  <si>
    <t>FVLSR</t>
  </si>
  <si>
    <t>X</t>
  </si>
  <si>
    <t xml:space="preserve">P-value: </t>
  </si>
  <si>
    <t>FVLR (B1=B2=0)</t>
  </si>
  <si>
    <t>FVLR (B1=0)</t>
  </si>
  <si>
    <t>H0: B1=0</t>
  </si>
  <si>
    <t>H0:B2=0</t>
  </si>
  <si>
    <t>FVLR (B2=0)</t>
  </si>
  <si>
    <t>H0: B11=0</t>
  </si>
  <si>
    <t>H0:B12=0</t>
  </si>
  <si>
    <t>H0: B21=0</t>
  </si>
  <si>
    <t>H0:B22=0</t>
  </si>
  <si>
    <t>Soma Ln</t>
  </si>
  <si>
    <t xml:space="preserve">Você é um pesquisador interessado em compreender o efeito do fumo e do peso sobre a pulsação em descanso. Como você categorizou a resposta-pulsação-em baixa e alta, uma análise de regressão logística binária é apropriada para investigar os efeitos do fumo e do peso sobre a pulsação..
</t>
  </si>
  <si>
    <t>PulsoRepouso</t>
  </si>
  <si>
    <t>Fuma</t>
  </si>
  <si>
    <t>Baixo</t>
  </si>
  <si>
    <t>Não</t>
  </si>
  <si>
    <t>Sim</t>
  </si>
  <si>
    <t>Alto</t>
  </si>
  <si>
    <t>Peso (libras)</t>
  </si>
  <si>
    <t>Pulso_Repouso</t>
  </si>
  <si>
    <t>Pulso_Repouso Estimado</t>
  </si>
  <si>
    <t>Prob</t>
  </si>
  <si>
    <t>Pulso</t>
  </si>
  <si>
    <t>H0: B2=0</t>
  </si>
  <si>
    <t>AIC (Akaike's information criterion)</t>
  </si>
  <si>
    <t>STR</t>
  </si>
  <si>
    <t>RES</t>
  </si>
  <si>
    <t>D1</t>
  </si>
  <si>
    <t>D2</t>
  </si>
  <si>
    <t>D3</t>
  </si>
  <si>
    <t>D4</t>
  </si>
  <si>
    <t>D5</t>
  </si>
  <si>
    <t>D6</t>
  </si>
  <si>
    <t>B1^</t>
  </si>
  <si>
    <t>B2^</t>
  </si>
  <si>
    <t>B3^</t>
  </si>
  <si>
    <t>B4^</t>
  </si>
  <si>
    <t>B5^</t>
  </si>
  <si>
    <t>B6^</t>
  </si>
  <si>
    <t>Uti</t>
  </si>
  <si>
    <t>Exp(UTI)</t>
  </si>
  <si>
    <t>Ref1</t>
  </si>
  <si>
    <t>Ref2</t>
  </si>
  <si>
    <t>Ref3</t>
  </si>
  <si>
    <t>Grupos Exp(UTI)</t>
  </si>
  <si>
    <t>Normalização</t>
  </si>
  <si>
    <t>Escolhas</t>
  </si>
  <si>
    <t>LnL1</t>
  </si>
  <si>
    <t>LnL2</t>
  </si>
  <si>
    <t>LnL3</t>
  </si>
  <si>
    <t>Soma Total</t>
  </si>
  <si>
    <t>P-value</t>
  </si>
  <si>
    <t>Marca</t>
  </si>
  <si>
    <t>Tela</t>
  </si>
  <si>
    <t>Memória</t>
  </si>
  <si>
    <t>Preço</t>
  </si>
  <si>
    <t>Importância Green</t>
  </si>
  <si>
    <t>Samsung</t>
  </si>
  <si>
    <t>Apple</t>
  </si>
  <si>
    <t>LG</t>
  </si>
  <si>
    <t>8 GB</t>
  </si>
  <si>
    <t>16GB</t>
  </si>
  <si>
    <t>log(L)|sob B^</t>
  </si>
  <si>
    <t>log(L)|sob H0</t>
  </si>
  <si>
    <t>X²obs=2*(LogFVSR-LogFVCR) ~ X² com gl igual ao nº restrições (parametros sendo testados) em H0</t>
  </si>
  <si>
    <t>teste Marca (b1 e b2)</t>
  </si>
  <si>
    <t>b1</t>
  </si>
  <si>
    <t>b2</t>
  </si>
  <si>
    <t>b4</t>
  </si>
  <si>
    <t>b5</t>
  </si>
  <si>
    <t>b6</t>
  </si>
  <si>
    <t>b3</t>
  </si>
  <si>
    <t>àcima:</t>
  </si>
  <si>
    <t>share dentro dos atributos</t>
  </si>
  <si>
    <t>amplitude share dentro cada atributo</t>
  </si>
  <si>
    <t>normalizando as amplitudes, dá uma ideia da importancia de cada atributo na hora da escolha</t>
  </si>
  <si>
    <t>Suponha que você seja um biólogo e acredita que a população adulta de salamandras no Nordeste diminuiu de tamanho nos últimos anos. Você gostaria de determinar se existe alguma relação entre o tempo de sobrevivência de uma salamandra e o nível de toxicidade da água e se existe algum efeito regional. O tempo de sobrevivência é codificado como 1 se &lt; 10 dias, 2 = 10 a 30 dias e 3 = 31 a 60 dias.</t>
  </si>
  <si>
    <t>Y</t>
  </si>
  <si>
    <t>P(Di=1)</t>
  </si>
  <si>
    <t>P(Di=2)</t>
  </si>
  <si>
    <t>P(Di=3)</t>
  </si>
  <si>
    <t>SomaLn</t>
  </si>
  <si>
    <t xml:space="preserve">Suponha que você é um diretor de escola de ensino fundamental interessado em que as crianças se identifiquem com sua matéria favorita e quer saber como isso está associado com a sua idade ou o método de ensino aplicado (debate (1) ou palestra (0)]. Trinta crianças, de 10 a 13 anos de idade, tiveram aulas teóricas em artes da linguagem (1), ciências (2) e matemática (3) que empregaram técnicas de debate ou palestra. No final do ano, elas foram solicitadas a identificar suas matérias favoritas. Usa-se a modelo de regressão logística nominal porque a resposta é categórica e não possui nenhuma ordenação  implícita nas categorias.
</t>
  </si>
  <si>
    <t>P(Sobrev=1)</t>
  </si>
  <si>
    <t>P(Sobrev=2)</t>
  </si>
  <si>
    <t>P(Sobrev=3)</t>
  </si>
  <si>
    <t>Sobrev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</si>
</sst>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%"/>
    <numFmt numFmtId="166" formatCode="0.000000E+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D2F83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/>
    <xf numFmtId="0" fontId="3" fillId="0" borderId="0" xfId="0" applyFont="1"/>
    <xf numFmtId="164" fontId="0" fillId="0" borderId="0" xfId="0" applyNumberFormat="1"/>
    <xf numFmtId="1" fontId="2" fillId="0" borderId="0" xfId="0" applyNumberFormat="1" applyFont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1" applyFont="1"/>
    <xf numFmtId="165" fontId="0" fillId="0" borderId="0" xfId="1" applyNumberFormat="1" applyFont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right"/>
    </xf>
    <xf numFmtId="0" fontId="1" fillId="2" borderId="1" xfId="0" applyFont="1" applyFill="1" applyBorder="1"/>
    <xf numFmtId="0" fontId="0" fillId="2" borderId="1" xfId="0" applyFill="1" applyBorder="1"/>
    <xf numFmtId="0" fontId="2" fillId="0" borderId="0" xfId="0" applyFont="1" applyBorder="1" applyAlignment="1">
      <alignment horizontal="right"/>
    </xf>
    <xf numFmtId="0" fontId="0" fillId="2" borderId="2" xfId="0" applyFill="1" applyBorder="1"/>
    <xf numFmtId="166" fontId="0" fillId="2" borderId="1" xfId="0" applyNumberFormat="1" applyFill="1" applyBorder="1"/>
    <xf numFmtId="10" fontId="1" fillId="2" borderId="1" xfId="1" applyNumberFormat="1" applyFont="1" applyFill="1" applyBorder="1"/>
    <xf numFmtId="10" fontId="1" fillId="0" borderId="0" xfId="1" applyNumberFormat="1" applyFont="1" applyFill="1"/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10" fontId="2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2D2F8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</xdr:row>
      <xdr:rowOff>0</xdr:rowOff>
    </xdr:from>
    <xdr:to>
      <xdr:col>17</xdr:col>
      <xdr:colOff>35384</xdr:colOff>
      <xdr:row>11</xdr:row>
      <xdr:rowOff>10541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4912184" cy="153454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5</xdr:row>
      <xdr:rowOff>0</xdr:rowOff>
    </xdr:from>
    <xdr:to>
      <xdr:col>40</xdr:col>
      <xdr:colOff>511634</xdr:colOff>
      <xdr:row>13</xdr:row>
      <xdr:rowOff>77216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914400"/>
          <a:ext cx="4992194" cy="154978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%20Files%20(x86)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XLSTAT_CDFNorma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J32"/>
  <sheetViews>
    <sheetView zoomScale="90" zoomScaleNormal="90" workbookViewId="0">
      <selection activeCell="N9" sqref="N9"/>
    </sheetView>
  </sheetViews>
  <sheetFormatPr defaultRowHeight="15" x14ac:dyDescent="0.25"/>
  <cols>
    <col min="2" max="2" width="11.42578125" bestFit="1" customWidth="1"/>
    <col min="3" max="3" width="14.140625" bestFit="1" customWidth="1"/>
    <col min="5" max="5" width="2.140625" customWidth="1"/>
    <col min="10" max="10" width="11" customWidth="1"/>
    <col min="11" max="11" width="1.7109375" customWidth="1"/>
    <col min="20" max="20" width="12" bestFit="1" customWidth="1"/>
    <col min="21" max="21" width="6.5703125" customWidth="1"/>
    <col min="22" max="22" width="8.7109375" customWidth="1"/>
    <col min="23" max="24" width="12" customWidth="1"/>
    <col min="25" max="25" width="12" style="22" customWidth="1"/>
    <col min="26" max="26" width="16.42578125" customWidth="1"/>
  </cols>
  <sheetData>
    <row r="1" spans="1:36" x14ac:dyDescent="0.25">
      <c r="L1" s="25" t="s">
        <v>22</v>
      </c>
      <c r="M1" s="25"/>
      <c r="N1" s="25"/>
      <c r="O1" s="25" t="s">
        <v>23</v>
      </c>
      <c r="P1" s="25"/>
      <c r="Q1" s="25"/>
      <c r="Z1" s="25" t="s">
        <v>0</v>
      </c>
      <c r="AA1" s="25"/>
      <c r="AB1" s="25"/>
    </row>
    <row r="2" spans="1:36" ht="15.75" x14ac:dyDescent="0.25">
      <c r="A2" t="s">
        <v>18</v>
      </c>
      <c r="B2" s="1" t="s">
        <v>0</v>
      </c>
      <c r="C2" s="1" t="s">
        <v>1</v>
      </c>
      <c r="D2" s="1" t="s">
        <v>2</v>
      </c>
      <c r="E2" s="1"/>
      <c r="F2" s="4" t="s">
        <v>0</v>
      </c>
      <c r="G2" s="4" t="s">
        <v>8</v>
      </c>
      <c r="H2" s="4" t="s">
        <v>2</v>
      </c>
      <c r="I2" s="4" t="s">
        <v>20</v>
      </c>
      <c r="J2" s="4" t="s">
        <v>9</v>
      </c>
      <c r="K2" s="4"/>
      <c r="L2" s="1" t="s">
        <v>14</v>
      </c>
      <c r="M2" s="1" t="s">
        <v>15</v>
      </c>
      <c r="N2" s="1" t="s">
        <v>16</v>
      </c>
      <c r="O2" s="1" t="s">
        <v>14</v>
      </c>
      <c r="P2" s="1" t="s">
        <v>15</v>
      </c>
      <c r="Q2" s="1" t="s">
        <v>16</v>
      </c>
      <c r="R2" s="38" t="s">
        <v>111</v>
      </c>
      <c r="S2" s="38" t="s">
        <v>112</v>
      </c>
      <c r="T2" s="38" t="s">
        <v>113</v>
      </c>
      <c r="U2" s="23" t="s">
        <v>17</v>
      </c>
      <c r="V2" s="23" t="s">
        <v>19</v>
      </c>
      <c r="W2" s="23" t="s">
        <v>114</v>
      </c>
      <c r="X2" s="1"/>
      <c r="Y2" s="23" t="s">
        <v>21</v>
      </c>
      <c r="Z2" s="6">
        <v>1</v>
      </c>
      <c r="AA2" s="6">
        <v>2</v>
      </c>
      <c r="AB2" s="6">
        <v>3</v>
      </c>
      <c r="AD2" s="24" t="s">
        <v>115</v>
      </c>
      <c r="AE2" s="24"/>
      <c r="AF2" s="24"/>
      <c r="AG2" s="24"/>
      <c r="AH2" s="24"/>
      <c r="AI2" s="24"/>
      <c r="AJ2" s="24"/>
    </row>
    <row r="3" spans="1:36" x14ac:dyDescent="0.25">
      <c r="A3">
        <v>1</v>
      </c>
      <c r="B3" t="s">
        <v>3</v>
      </c>
      <c r="C3" t="s">
        <v>4</v>
      </c>
      <c r="D3">
        <v>10</v>
      </c>
      <c r="F3">
        <v>3</v>
      </c>
      <c r="G3">
        <v>1</v>
      </c>
      <c r="H3">
        <v>10</v>
      </c>
      <c r="I3">
        <f>MATCH(J3,R3:T3,0)</f>
        <v>3</v>
      </c>
      <c r="J3">
        <f>MAX(R3:T3)</f>
        <v>0.52497263595194343</v>
      </c>
      <c r="L3" s="37">
        <v>11.078338919829614</v>
      </c>
      <c r="M3" s="37">
        <v>2.7699121412112113</v>
      </c>
      <c r="N3" s="31">
        <v>-1.0135177082604967</v>
      </c>
      <c r="O3" s="31">
        <v>9.3926469303893363</v>
      </c>
      <c r="P3" s="31">
        <v>3.3330195030099139</v>
      </c>
      <c r="Q3" s="31">
        <v>-0.88885093129168669</v>
      </c>
      <c r="R3">
        <f>1/(1+(EXP($L$3+$M$3*G3+$N$3*H3)+EXP($O$3+$P$3*G3+$Q$3*H3)))</f>
        <v>1.1315675974546255E-2</v>
      </c>
      <c r="S3">
        <f>((EXP($L$3+$M$3*G3+$N$3*H3))/(1+(EXP($L$3+$M$3*G3+$N$3*H3)+EXP($O$3+$P$3*G3+$Q$3*H3))))</f>
        <v>0.46371168807351038</v>
      </c>
      <c r="T3">
        <f>(EXP($O$3+$P$3*G3+$Q$3*H3))/(1+(EXP($L$3+$M$3*G3+$N$3*H3)+EXP($O$3+$P$3*G3+$Q$3*H3)))</f>
        <v>0.52497263595194343</v>
      </c>
      <c r="U3" s="5">
        <f ca="1">OFFSET($Q$2,A3,F3)</f>
        <v>0.52497263595194343</v>
      </c>
      <c r="V3">
        <f ca="1">LN(U3)</f>
        <v>-0.64440913974520997</v>
      </c>
      <c r="W3">
        <f ca="1">SUM(V3:V32)</f>
        <v>-26.445713266119892</v>
      </c>
      <c r="Y3" s="22">
        <f>IF((F3-I3)=0,1,0)</f>
        <v>1</v>
      </c>
      <c r="Z3" s="7">
        <f>AVERAGEIFS($Y$3:$Y$32,$F$3:$F$32,Z2)</f>
        <v>0.88888888888888884</v>
      </c>
      <c r="AA3" s="7">
        <f>AVERAGEIFS($Y$3:$Y$32,$F$3:$F$32,AA2)</f>
        <v>0.1</v>
      </c>
      <c r="AB3" s="7">
        <f>AVERAGEIFS($Y$3:$Y$32,$F$3:$F$32,AB2)</f>
        <v>0.72727272727272729</v>
      </c>
      <c r="AD3" s="24"/>
      <c r="AE3" s="24"/>
      <c r="AF3" s="24"/>
      <c r="AG3" s="24"/>
      <c r="AH3" s="24"/>
      <c r="AI3" s="24"/>
      <c r="AJ3" s="24"/>
    </row>
    <row r="4" spans="1:36" x14ac:dyDescent="0.25">
      <c r="A4">
        <v>2</v>
      </c>
      <c r="B4" t="s">
        <v>5</v>
      </c>
      <c r="C4" t="s">
        <v>4</v>
      </c>
      <c r="D4">
        <v>10</v>
      </c>
      <c r="F4">
        <v>2</v>
      </c>
      <c r="G4">
        <v>1</v>
      </c>
      <c r="H4">
        <v>10</v>
      </c>
      <c r="I4">
        <f>MATCH(J4,R4:T4,0)</f>
        <v>3</v>
      </c>
      <c r="J4">
        <f t="shared" ref="J4:J32" si="0">MAX(R4:T4)</f>
        <v>0.52497263595194343</v>
      </c>
      <c r="R4">
        <f>1/(1+(EXP($L$3+$M$3*G4+$N$3*H4)+EXP($O$3+$P$3*G4+$Q$3*H4)))</f>
        <v>1.1315675974546255E-2</v>
      </c>
      <c r="S4">
        <f>((EXP($L$3+$M$3*G4+$N$3*H4))/(1+(EXP($L$3+$M$3*G4+$N$3*H4)+EXP($O$3+$P$3*G4+$Q$3*H4))))</f>
        <v>0.46371168807351038</v>
      </c>
      <c r="T4">
        <f>(EXP($O$3+$P$3*G4+$Q$3*H4))/(1+(EXP($L$3+$M$3*G4+$N$3*H4)+EXP($O$3+$P$3*G4+$Q$3*H4)))</f>
        <v>0.52497263595194343</v>
      </c>
      <c r="U4" s="5">
        <f ca="1">OFFSET($Q$2,A4,F4)</f>
        <v>0.46371168807351038</v>
      </c>
      <c r="V4">
        <f t="shared" ref="V4:V32" ca="1" si="1">LN(U4)</f>
        <v>-0.76849228179173634</v>
      </c>
      <c r="Y4" s="22">
        <f t="shared" ref="Y4:Y32" si="2">IF((F4-I4)=0,1,0)</f>
        <v>0</v>
      </c>
      <c r="Z4" s="26" t="s">
        <v>29</v>
      </c>
      <c r="AA4" s="26"/>
      <c r="AB4" s="26"/>
      <c r="AD4" s="24"/>
      <c r="AE4" s="24"/>
      <c r="AF4" s="24"/>
      <c r="AG4" s="24"/>
      <c r="AH4" s="24"/>
      <c r="AI4" s="24"/>
      <c r="AJ4" s="24"/>
    </row>
    <row r="5" spans="1:36" x14ac:dyDescent="0.25">
      <c r="A5">
        <v>3</v>
      </c>
      <c r="B5" t="s">
        <v>5</v>
      </c>
      <c r="C5" t="s">
        <v>4</v>
      </c>
      <c r="D5">
        <v>10</v>
      </c>
      <c r="F5">
        <v>2</v>
      </c>
      <c r="G5">
        <v>1</v>
      </c>
      <c r="H5">
        <v>10</v>
      </c>
      <c r="I5">
        <f>MATCH(J5,R5:T5,0)</f>
        <v>3</v>
      </c>
      <c r="J5">
        <f t="shared" si="0"/>
        <v>0.52497263595194343</v>
      </c>
      <c r="R5">
        <f>1/(1+(EXP($L$3+$M$3*G5+$N$3*H5)+EXP($O$3+$P$3*G5+$Q$3*H5)))</f>
        <v>1.1315675974546255E-2</v>
      </c>
      <c r="S5">
        <f>((EXP($L$3+$M$3*G5+$N$3*H5))/(1+(EXP($L$3+$M$3*G5+$N$3*H5)+EXP($O$3+$P$3*G5+$Q$3*H5))))</f>
        <v>0.46371168807351038</v>
      </c>
      <c r="T5">
        <f>(EXP($O$3+$P$3*G5+$Q$3*H5))/(1+(EXP($L$3+$M$3*G5+$N$3*H5)+EXP($O$3+$P$3*G5+$Q$3*H5)))</f>
        <v>0.52497263595194343</v>
      </c>
      <c r="U5" s="5">
        <f t="shared" ref="U5:U32" ca="1" si="3">OFFSET($Q$2,A5,F5)</f>
        <v>0.46371168807351038</v>
      </c>
      <c r="V5">
        <f t="shared" ca="1" si="1"/>
        <v>-0.76849228179173634</v>
      </c>
      <c r="Y5" s="22">
        <f t="shared" si="2"/>
        <v>0</v>
      </c>
      <c r="Z5" s="6">
        <v>1</v>
      </c>
      <c r="AA5" s="6">
        <v>2</v>
      </c>
      <c r="AB5" s="6">
        <v>3</v>
      </c>
      <c r="AD5" s="24"/>
      <c r="AE5" s="24"/>
      <c r="AF5" s="24"/>
      <c r="AG5" s="24"/>
      <c r="AH5" s="24"/>
      <c r="AI5" s="24"/>
      <c r="AJ5" s="24"/>
    </row>
    <row r="6" spans="1:36" x14ac:dyDescent="0.25">
      <c r="A6">
        <v>4</v>
      </c>
      <c r="B6" t="s">
        <v>3</v>
      </c>
      <c r="C6" t="s">
        <v>6</v>
      </c>
      <c r="D6">
        <v>10</v>
      </c>
      <c r="F6">
        <v>3</v>
      </c>
      <c r="G6">
        <v>0</v>
      </c>
      <c r="H6">
        <v>10</v>
      </c>
      <c r="I6">
        <f>MATCH(J6,R6:T6,0)</f>
        <v>2</v>
      </c>
      <c r="J6">
        <f t="shared" si="0"/>
        <v>0.49162761850998715</v>
      </c>
      <c r="R6">
        <f>1/(1+(EXP($L$3+$M$3*G6+$N$3*H6)+EXP($O$3+$P$3*G6+$Q$3*H6)))</f>
        <v>0.19143718128641427</v>
      </c>
      <c r="S6">
        <f>((EXP($L$3+$M$3*G6+$N$3*H6))/(1+(EXP($L$3+$M$3*G6+$N$3*H6)+EXP($O$3+$P$3*G6+$Q$3*H6))))</f>
        <v>0.49162761850998715</v>
      </c>
      <c r="T6">
        <f>(EXP($O$3+$P$3*G6+$Q$3*H6))/(1+(EXP($L$3+$M$3*G6+$N$3*H6)+EXP($O$3+$P$3*G6+$Q$3*H6)))</f>
        <v>0.31693520020359861</v>
      </c>
      <c r="U6" s="5">
        <f t="shared" ca="1" si="3"/>
        <v>0.31693520020359861</v>
      </c>
      <c r="V6">
        <f t="shared" ca="1" si="1"/>
        <v>-1.1490579417621245</v>
      </c>
      <c r="Y6" s="22">
        <f t="shared" si="2"/>
        <v>0</v>
      </c>
      <c r="Z6" s="2">
        <f>COUNTIF($F$3:$F$32,Z2)</f>
        <v>9</v>
      </c>
      <c r="AA6" s="2">
        <f>COUNTIF($F$3:$F$32,AA2)</f>
        <v>10</v>
      </c>
      <c r="AB6" s="2">
        <f>COUNTIF($F$3:$F$32,AB2)</f>
        <v>11</v>
      </c>
      <c r="AD6" s="24"/>
      <c r="AE6" s="24"/>
      <c r="AF6" s="24"/>
      <c r="AG6" s="24"/>
      <c r="AH6" s="24"/>
      <c r="AI6" s="24"/>
      <c r="AJ6" s="24"/>
    </row>
    <row r="7" spans="1:36" x14ac:dyDescent="0.25">
      <c r="A7">
        <v>5</v>
      </c>
      <c r="B7" t="s">
        <v>3</v>
      </c>
      <c r="C7" t="s">
        <v>4</v>
      </c>
      <c r="D7">
        <v>10</v>
      </c>
      <c r="F7">
        <v>3</v>
      </c>
      <c r="G7">
        <v>1</v>
      </c>
      <c r="H7">
        <v>10</v>
      </c>
      <c r="I7">
        <f>MATCH(J7,R7:T7,0)</f>
        <v>3</v>
      </c>
      <c r="J7">
        <f t="shared" si="0"/>
        <v>0.52497263595194343</v>
      </c>
      <c r="R7">
        <f>1/(1+(EXP($L$3+$M$3*G7+$N$3*H7)+EXP($O$3+$P$3*G7+$Q$3*H7)))</f>
        <v>1.1315675974546255E-2</v>
      </c>
      <c r="S7">
        <f>((EXP($L$3+$M$3*G7+$N$3*H7))/(1+(EXP($L$3+$M$3*G7+$N$3*H7)+EXP($O$3+$P$3*G7+$Q$3*H7))))</f>
        <v>0.46371168807351038</v>
      </c>
      <c r="T7">
        <f>(EXP($O$3+$P$3*G7+$Q$3*H7))/(1+(EXP($L$3+$M$3*G7+$N$3*H7)+EXP($O$3+$P$3*G7+$Q$3*H7)))</f>
        <v>0.52497263595194343</v>
      </c>
      <c r="U7" s="5">
        <f t="shared" ca="1" si="3"/>
        <v>0.52497263595194343</v>
      </c>
      <c r="V7">
        <f t="shared" ca="1" si="1"/>
        <v>-0.64440913974520997</v>
      </c>
      <c r="Y7" s="22">
        <f t="shared" si="2"/>
        <v>1</v>
      </c>
      <c r="AD7" s="24"/>
      <c r="AE7" s="24"/>
      <c r="AF7" s="24"/>
      <c r="AG7" s="24"/>
      <c r="AH7" s="24"/>
      <c r="AI7" s="24"/>
      <c r="AJ7" s="24"/>
    </row>
    <row r="8" spans="1:36" x14ac:dyDescent="0.25">
      <c r="A8">
        <v>6</v>
      </c>
      <c r="B8" t="s">
        <v>5</v>
      </c>
      <c r="C8" t="s">
        <v>6</v>
      </c>
      <c r="D8">
        <v>10</v>
      </c>
      <c r="F8">
        <v>2</v>
      </c>
      <c r="G8">
        <v>0</v>
      </c>
      <c r="H8">
        <v>10</v>
      </c>
      <c r="I8">
        <f>MATCH(J8,R8:T8,0)</f>
        <v>2</v>
      </c>
      <c r="J8">
        <f t="shared" si="0"/>
        <v>0.49162761850998715</v>
      </c>
      <c r="R8">
        <f>1/(1+(EXP($L$3+$M$3*G8+$N$3*H8)+EXP($O$3+$P$3*G8+$Q$3*H8)))</f>
        <v>0.19143718128641427</v>
      </c>
      <c r="S8">
        <f>((EXP($L$3+$M$3*G8+$N$3*H8))/(1+(EXP($L$3+$M$3*G8+$N$3*H8)+EXP($O$3+$P$3*G8+$Q$3*H8))))</f>
        <v>0.49162761850998715</v>
      </c>
      <c r="T8">
        <f>(EXP($O$3+$P$3*G8+$Q$3*H8))/(1+(EXP($L$3+$M$3*G8+$N$3*H8)+EXP($O$3+$P$3*G8+$Q$3*H8)))</f>
        <v>0.31693520020359861</v>
      </c>
      <c r="U8" s="5">
        <f t="shared" ca="1" si="3"/>
        <v>0.49162761850998715</v>
      </c>
      <c r="V8">
        <f t="shared" ca="1" si="1"/>
        <v>-0.7100337220099473</v>
      </c>
      <c r="Y8" s="22">
        <f t="shared" si="2"/>
        <v>1</v>
      </c>
      <c r="Z8" s="1" t="s">
        <v>30</v>
      </c>
      <c r="AD8" s="24"/>
      <c r="AE8" s="24"/>
      <c r="AF8" s="24"/>
      <c r="AG8" s="24"/>
      <c r="AH8" s="24"/>
      <c r="AI8" s="24"/>
      <c r="AJ8" s="24"/>
    </row>
    <row r="9" spans="1:36" x14ac:dyDescent="0.25">
      <c r="A9">
        <v>7</v>
      </c>
      <c r="B9" t="s">
        <v>3</v>
      </c>
      <c r="C9" t="s">
        <v>4</v>
      </c>
      <c r="D9">
        <v>10</v>
      </c>
      <c r="F9">
        <v>3</v>
      </c>
      <c r="G9">
        <v>1</v>
      </c>
      <c r="H9">
        <v>10</v>
      </c>
      <c r="I9">
        <f>MATCH(J9,R9:T9,0)</f>
        <v>3</v>
      </c>
      <c r="J9">
        <f t="shared" si="0"/>
        <v>0.52497263595194343</v>
      </c>
      <c r="R9">
        <f>1/(1+(EXP($L$3+$M$3*G9+$N$3*H9)+EXP($O$3+$P$3*G9+$Q$3*H9)))</f>
        <v>1.1315675974546255E-2</v>
      </c>
      <c r="S9">
        <f>((EXP($L$3+$M$3*G9+$N$3*H9))/(1+(EXP($L$3+$M$3*G9+$N$3*H9)+EXP($O$3+$P$3*G9+$Q$3*H9))))</f>
        <v>0.46371168807351038</v>
      </c>
      <c r="T9">
        <f>(EXP($O$3+$P$3*G9+$Q$3*H9))/(1+(EXP($L$3+$M$3*G9+$N$3*H9)+EXP($O$3+$P$3*G9+$Q$3*H9)))</f>
        <v>0.52497263595194343</v>
      </c>
      <c r="U9" s="5">
        <f t="shared" ca="1" si="3"/>
        <v>0.52497263595194343</v>
      </c>
      <c r="V9">
        <f t="shared" ca="1" si="1"/>
        <v>-0.64440913974520997</v>
      </c>
      <c r="Y9" s="22">
        <f t="shared" si="2"/>
        <v>1</v>
      </c>
      <c r="Z9" t="s">
        <v>31</v>
      </c>
      <c r="AA9">
        <v>-26.4457132736662</v>
      </c>
      <c r="AD9" s="24"/>
      <c r="AE9" s="24"/>
      <c r="AF9" s="24"/>
      <c r="AG9" s="24"/>
      <c r="AH9" s="24"/>
      <c r="AI9" s="24"/>
      <c r="AJ9" s="24"/>
    </row>
    <row r="10" spans="1:36" x14ac:dyDescent="0.25">
      <c r="A10">
        <v>8</v>
      </c>
      <c r="B10" t="s">
        <v>3</v>
      </c>
      <c r="C10" t="s">
        <v>6</v>
      </c>
      <c r="D10">
        <v>11</v>
      </c>
      <c r="F10">
        <v>3</v>
      </c>
      <c r="G10">
        <v>0</v>
      </c>
      <c r="H10">
        <v>11</v>
      </c>
      <c r="I10">
        <f>MATCH(J10,R10:T10,0)</f>
        <v>1</v>
      </c>
      <c r="J10">
        <f t="shared" si="0"/>
        <v>0.38274467483123809</v>
      </c>
      <c r="R10">
        <f>1/(1+(EXP($L$3+$M$3*G10+$N$3*H10)+EXP($O$3+$P$3*G10+$Q$3*H10)))</f>
        <v>0.38274467483123809</v>
      </c>
      <c r="S10">
        <f>((EXP($L$3+$M$3*G10+$N$3*H10))/(1+(EXP($L$3+$M$3*G10+$N$3*H10)+EXP($O$3+$P$3*G10+$Q$3*H10))))</f>
        <v>0.35674179275092288</v>
      </c>
      <c r="T10">
        <f>(EXP($O$3+$P$3*G10+$Q$3*H10))/(1+(EXP($L$3+$M$3*G10+$N$3*H10)+EXP($O$3+$P$3*G10+$Q$3*H10)))</f>
        <v>0.26051353241783903</v>
      </c>
      <c r="U10" s="5">
        <f t="shared" ca="1" si="3"/>
        <v>0.26051353241783903</v>
      </c>
      <c r="V10">
        <f t="shared" ca="1" si="1"/>
        <v>-1.3451004712767725</v>
      </c>
      <c r="Y10" s="22">
        <f t="shared" si="2"/>
        <v>0</v>
      </c>
      <c r="Z10" t="s">
        <v>34</v>
      </c>
      <c r="AA10">
        <v>-32.858201323352809</v>
      </c>
      <c r="AD10" s="24"/>
      <c r="AE10" s="24"/>
      <c r="AF10" s="24"/>
      <c r="AG10" s="24"/>
      <c r="AH10" s="24"/>
      <c r="AI10" s="24"/>
      <c r="AJ10" s="24"/>
    </row>
    <row r="11" spans="1:36" x14ac:dyDescent="0.25">
      <c r="A11">
        <v>9</v>
      </c>
      <c r="B11" t="s">
        <v>7</v>
      </c>
      <c r="C11" t="s">
        <v>6</v>
      </c>
      <c r="D11">
        <v>11</v>
      </c>
      <c r="F11">
        <v>1</v>
      </c>
      <c r="G11">
        <v>0</v>
      </c>
      <c r="H11">
        <v>11</v>
      </c>
      <c r="I11">
        <f>MATCH(J11,R11:T11,0)</f>
        <v>1</v>
      </c>
      <c r="J11">
        <f t="shared" si="0"/>
        <v>0.38274467483123809</v>
      </c>
      <c r="R11">
        <f>1/(1+(EXP($L$3+$M$3*G11+$N$3*H11)+EXP($O$3+$P$3*G11+$Q$3*H11)))</f>
        <v>0.38274467483123809</v>
      </c>
      <c r="S11">
        <f>((EXP($L$3+$M$3*G11+$N$3*H11))/(1+(EXP($L$3+$M$3*G11+$N$3*H11)+EXP($O$3+$P$3*G11+$Q$3*H11))))</f>
        <v>0.35674179275092288</v>
      </c>
      <c r="T11">
        <f>(EXP($O$3+$P$3*G11+$Q$3*H11))/(1+(EXP($L$3+$M$3*G11+$N$3*H11)+EXP($O$3+$P$3*G11+$Q$3*H11)))</f>
        <v>0.26051353241783903</v>
      </c>
      <c r="U11" s="5">
        <f t="shared" ca="1" si="3"/>
        <v>0.38274467483123809</v>
      </c>
      <c r="V11">
        <f ca="1">LN(U11)</f>
        <v>-0.9603871574575551</v>
      </c>
      <c r="Y11" s="22">
        <f t="shared" si="2"/>
        <v>1</v>
      </c>
      <c r="Z11" t="s">
        <v>32</v>
      </c>
      <c r="AA11">
        <f>2*(AA9-AA10)</f>
        <v>12.824976099373217</v>
      </c>
      <c r="AD11" s="24"/>
      <c r="AE11" s="24"/>
      <c r="AF11" s="24"/>
      <c r="AG11" s="24"/>
      <c r="AH11" s="24"/>
      <c r="AI11" s="24"/>
      <c r="AJ11" s="24"/>
    </row>
    <row r="12" spans="1:36" x14ac:dyDescent="0.25">
      <c r="A12">
        <v>10</v>
      </c>
      <c r="B12" t="s">
        <v>5</v>
      </c>
      <c r="C12" t="s">
        <v>4</v>
      </c>
      <c r="D12">
        <v>11</v>
      </c>
      <c r="F12">
        <v>2</v>
      </c>
      <c r="G12">
        <v>1</v>
      </c>
      <c r="H12">
        <v>11</v>
      </c>
      <c r="I12">
        <f>MATCH(J12,R12:T12,0)</f>
        <v>3</v>
      </c>
      <c r="J12">
        <f t="shared" si="0"/>
        <v>0.54579093411364832</v>
      </c>
      <c r="R12">
        <f>1/(1+(EXP($L$3+$M$3*G12+$N$3*H12)+EXP($O$3+$P$3*G12+$Q$3*H12)))</f>
        <v>2.861496431175815E-2</v>
      </c>
      <c r="S12">
        <f>((EXP($L$3+$M$3*G12+$N$3*H12))/(1+(EXP($L$3+$M$3*G12+$N$3*H12)+EXP($O$3+$P$3*G12+$Q$3*H12))))</f>
        <v>0.4255941015745936</v>
      </c>
      <c r="T12">
        <f>(EXP($O$3+$P$3*G12+$Q$3*H12))/(1+(EXP($L$3+$M$3*G12+$N$3*H12)+EXP($O$3+$P$3*G12+$Q$3*H12)))</f>
        <v>0.54579093411364832</v>
      </c>
      <c r="U12" s="5">
        <f t="shared" ca="1" si="3"/>
        <v>0.4255941015745936</v>
      </c>
      <c r="V12">
        <f t="shared" ca="1" si="1"/>
        <v>-0.85426920013299223</v>
      </c>
      <c r="Y12" s="22">
        <f t="shared" si="2"/>
        <v>0</v>
      </c>
      <c r="Z12" t="s">
        <v>33</v>
      </c>
      <c r="AA12">
        <f>1-_xlfn.CHISQ.DIST(AA11,4,1)</f>
        <v>1.2163423581391664E-2</v>
      </c>
      <c r="AD12" s="24"/>
      <c r="AE12" s="24"/>
      <c r="AF12" s="24"/>
      <c r="AG12" s="24"/>
      <c r="AH12" s="24"/>
      <c r="AI12" s="24"/>
      <c r="AJ12" s="24"/>
    </row>
    <row r="13" spans="1:36" x14ac:dyDescent="0.25">
      <c r="A13">
        <v>11</v>
      </c>
      <c r="B13" t="s">
        <v>7</v>
      </c>
      <c r="C13" t="s">
        <v>6</v>
      </c>
      <c r="D13">
        <v>11</v>
      </c>
      <c r="F13">
        <v>1</v>
      </c>
      <c r="G13">
        <v>0</v>
      </c>
      <c r="H13">
        <v>11</v>
      </c>
      <c r="I13">
        <f>MATCH(J13,R13:T13,0)</f>
        <v>1</v>
      </c>
      <c r="J13">
        <f t="shared" si="0"/>
        <v>0.38274467483123809</v>
      </c>
      <c r="R13">
        <f>1/(1+(EXP($L$3+$M$3*G13+$N$3*H13)+EXP($O$3+$P$3*G13+$Q$3*H13)))</f>
        <v>0.38274467483123809</v>
      </c>
      <c r="S13">
        <f>((EXP($L$3+$M$3*G13+$N$3*H13))/(1+(EXP($L$3+$M$3*G13+$N$3*H13)+EXP($O$3+$P$3*G13+$Q$3*H13))))</f>
        <v>0.35674179275092288</v>
      </c>
      <c r="T13">
        <f>(EXP($O$3+$P$3*G13+$Q$3*H13))/(1+(EXP($L$3+$M$3*G13+$N$3*H13)+EXP($O$3+$P$3*G13+$Q$3*H13)))</f>
        <v>0.26051353241783903</v>
      </c>
      <c r="U13" s="5">
        <f t="shared" ca="1" si="3"/>
        <v>0.38274467483123809</v>
      </c>
      <c r="V13">
        <f t="shared" ca="1" si="1"/>
        <v>-0.9603871574575551</v>
      </c>
      <c r="Y13" s="22">
        <f t="shared" si="2"/>
        <v>1</v>
      </c>
      <c r="AD13" s="24"/>
      <c r="AE13" s="24"/>
      <c r="AF13" s="24"/>
      <c r="AG13" s="24"/>
      <c r="AH13" s="24"/>
      <c r="AI13" s="24"/>
      <c r="AJ13" s="24"/>
    </row>
    <row r="14" spans="1:36" x14ac:dyDescent="0.25">
      <c r="A14">
        <v>12</v>
      </c>
      <c r="B14" t="s">
        <v>3</v>
      </c>
      <c r="C14" t="s">
        <v>4</v>
      </c>
      <c r="D14">
        <v>11</v>
      </c>
      <c r="F14">
        <v>3</v>
      </c>
      <c r="G14">
        <v>1</v>
      </c>
      <c r="H14">
        <v>11</v>
      </c>
      <c r="I14">
        <f>MATCH(J14,R14:T14,0)</f>
        <v>3</v>
      </c>
      <c r="J14">
        <f t="shared" si="0"/>
        <v>0.54579093411364832</v>
      </c>
      <c r="R14">
        <f>1/(1+(EXP($L$3+$M$3*G14+$N$3*H14)+EXP($O$3+$P$3*G14+$Q$3*H14)))</f>
        <v>2.861496431175815E-2</v>
      </c>
      <c r="S14">
        <f>((EXP($L$3+$M$3*G14+$N$3*H14))/(1+(EXP($L$3+$M$3*G14+$N$3*H14)+EXP($O$3+$P$3*G14+$Q$3*H14))))</f>
        <v>0.4255941015745936</v>
      </c>
      <c r="T14">
        <f>(EXP($O$3+$P$3*G14+$Q$3*H14))/(1+(EXP($L$3+$M$3*G14+$N$3*H14)+EXP($O$3+$P$3*G14+$Q$3*H14)))</f>
        <v>0.54579093411364832</v>
      </c>
      <c r="U14" s="5">
        <f t="shared" ca="1" si="3"/>
        <v>0.54579093411364832</v>
      </c>
      <c r="V14">
        <f t="shared" ca="1" si="1"/>
        <v>-0.60551928111765696</v>
      </c>
      <c r="Y14" s="22">
        <f t="shared" si="2"/>
        <v>1</v>
      </c>
      <c r="Z14" s="1" t="s">
        <v>39</v>
      </c>
    </row>
    <row r="15" spans="1:36" x14ac:dyDescent="0.25">
      <c r="A15">
        <v>13</v>
      </c>
      <c r="B15" t="s">
        <v>5</v>
      </c>
      <c r="C15" t="s">
        <v>6</v>
      </c>
      <c r="D15">
        <v>11</v>
      </c>
      <c r="F15">
        <v>2</v>
      </c>
      <c r="G15">
        <v>0</v>
      </c>
      <c r="H15">
        <v>11</v>
      </c>
      <c r="I15">
        <f>MATCH(J15,R15:T15,0)</f>
        <v>1</v>
      </c>
      <c r="J15">
        <f t="shared" si="0"/>
        <v>0.38274467483123809</v>
      </c>
      <c r="R15">
        <f>1/(1+(EXP($L$3+$M$3*G15+$N$3*H15)+EXP($O$3+$P$3*G15+$Q$3*H15)))</f>
        <v>0.38274467483123809</v>
      </c>
      <c r="S15">
        <f>((EXP($L$3+$M$3*G15+$N$3*H15))/(1+(EXP($L$3+$M$3*G15+$N$3*H15)+EXP($O$3+$P$3*G15+$Q$3*H15))))</f>
        <v>0.35674179275092288</v>
      </c>
      <c r="T15">
        <f>(EXP($O$3+$P$3*G15+$Q$3*H15))/(1+(EXP($L$3+$M$3*G15+$N$3*H15)+EXP($O$3+$P$3*G15+$Q$3*H15)))</f>
        <v>0.26051353241783903</v>
      </c>
      <c r="U15" s="5">
        <f t="shared" ca="1" si="3"/>
        <v>0.35674179275092288</v>
      </c>
      <c r="V15">
        <f t="shared" ca="1" si="1"/>
        <v>-1.030743028493404</v>
      </c>
      <c r="Y15" s="22">
        <f t="shared" si="2"/>
        <v>0</v>
      </c>
      <c r="Z15" t="s">
        <v>35</v>
      </c>
      <c r="AA15">
        <v>-29.181544482925826</v>
      </c>
    </row>
    <row r="16" spans="1:36" x14ac:dyDescent="0.25">
      <c r="A16">
        <v>14</v>
      </c>
      <c r="B16" t="s">
        <v>5</v>
      </c>
      <c r="C16" t="s">
        <v>4</v>
      </c>
      <c r="D16">
        <v>11</v>
      </c>
      <c r="F16">
        <v>2</v>
      </c>
      <c r="G16">
        <v>1</v>
      </c>
      <c r="H16">
        <v>11</v>
      </c>
      <c r="I16">
        <f>MATCH(J16,R16:T16,0)</f>
        <v>3</v>
      </c>
      <c r="J16">
        <f t="shared" si="0"/>
        <v>0.54579093411364832</v>
      </c>
      <c r="R16">
        <f>1/(1+(EXP($L$3+$M$3*G16+$N$3*H16)+EXP($O$3+$P$3*G16+$Q$3*H16)))</f>
        <v>2.861496431175815E-2</v>
      </c>
      <c r="S16">
        <f>((EXP($L$3+$M$3*G16+$N$3*H16))/(1+(EXP($L$3+$M$3*G16+$N$3*H16)+EXP($O$3+$P$3*G16+$Q$3*H16))))</f>
        <v>0.4255941015745936</v>
      </c>
      <c r="T16">
        <f>(EXP($O$3+$P$3*G16+$Q$3*H16))/(1+(EXP($L$3+$M$3*G16+$N$3*H16)+EXP($O$3+$P$3*G16+$Q$3*H16)))</f>
        <v>0.54579093411364832</v>
      </c>
      <c r="U16" s="5">
        <f t="shared" ca="1" si="3"/>
        <v>0.4255941015745936</v>
      </c>
      <c r="V16">
        <f t="shared" ca="1" si="1"/>
        <v>-0.85426920013299223</v>
      </c>
      <c r="Y16" s="22">
        <f t="shared" si="2"/>
        <v>0</v>
      </c>
      <c r="Z16" t="s">
        <v>32</v>
      </c>
      <c r="AA16">
        <f>2*(AA9-AA15)</f>
        <v>5.4716624185192515</v>
      </c>
    </row>
    <row r="17" spans="1:27" x14ac:dyDescent="0.25">
      <c r="A17">
        <v>15</v>
      </c>
      <c r="B17" t="s">
        <v>7</v>
      </c>
      <c r="C17" t="s">
        <v>6</v>
      </c>
      <c r="D17">
        <v>11</v>
      </c>
      <c r="F17">
        <v>1</v>
      </c>
      <c r="G17">
        <v>0</v>
      </c>
      <c r="H17">
        <v>11</v>
      </c>
      <c r="I17">
        <f>MATCH(J17,R17:T17,0)</f>
        <v>1</v>
      </c>
      <c r="J17">
        <f t="shared" si="0"/>
        <v>0.38274467483123809</v>
      </c>
      <c r="R17">
        <f>1/(1+(EXP($L$3+$M$3*G17+$N$3*H17)+EXP($O$3+$P$3*G17+$Q$3*H17)))</f>
        <v>0.38274467483123809</v>
      </c>
      <c r="S17">
        <f>((EXP($L$3+$M$3*G17+$N$3*H17))/(1+(EXP($L$3+$M$3*G17+$N$3*H17)+EXP($O$3+$P$3*G17+$Q$3*H17))))</f>
        <v>0.35674179275092288</v>
      </c>
      <c r="T17">
        <f>(EXP($O$3+$P$3*G17+$Q$3*H17))/(1+(EXP($L$3+$M$3*G17+$N$3*H17)+EXP($O$3+$P$3*G17+$Q$3*H17)))</f>
        <v>0.26051353241783903</v>
      </c>
      <c r="U17" s="5">
        <f t="shared" ca="1" si="3"/>
        <v>0.38274467483123809</v>
      </c>
      <c r="V17">
        <f t="shared" ca="1" si="1"/>
        <v>-0.9603871574575551</v>
      </c>
      <c r="Y17" s="22">
        <f t="shared" si="2"/>
        <v>1</v>
      </c>
      <c r="Z17" t="s">
        <v>33</v>
      </c>
      <c r="AA17">
        <f>1-_xlfn.CHISQ.DIST(AA16,1,1)</f>
        <v>1.9327232758114987E-2</v>
      </c>
    </row>
    <row r="18" spans="1:27" x14ac:dyDescent="0.25">
      <c r="A18">
        <v>16</v>
      </c>
      <c r="B18" t="s">
        <v>5</v>
      </c>
      <c r="C18" t="s">
        <v>6</v>
      </c>
      <c r="D18">
        <v>12</v>
      </c>
      <c r="F18">
        <v>2</v>
      </c>
      <c r="G18">
        <v>0</v>
      </c>
      <c r="H18">
        <v>12</v>
      </c>
      <c r="I18">
        <f>MATCH(J18,R18:T18,0)</f>
        <v>1</v>
      </c>
      <c r="J18">
        <f t="shared" si="0"/>
        <v>0.61800301976876326</v>
      </c>
      <c r="R18">
        <f>1/(1+(EXP($L$3+$M$3*G18+$N$3*H18)+EXP($O$3+$P$3*G18+$Q$3*H18)))</f>
        <v>0.61800301976876326</v>
      </c>
      <c r="S18">
        <f>((EXP($L$3+$M$3*G18+$N$3*H18))/(1+(EXP($L$3+$M$3*G18+$N$3*H18)+EXP($O$3+$P$3*G18+$Q$3*H18))))</f>
        <v>0.20905968064062003</v>
      </c>
      <c r="T18">
        <f>(EXP($O$3+$P$3*G18+$Q$3*H18))/(1+(EXP($L$3+$M$3*G18+$N$3*H18)+EXP($O$3+$P$3*G18+$Q$3*H18)))</f>
        <v>0.17293729959061668</v>
      </c>
      <c r="U18" s="5">
        <f t="shared" ca="1" si="3"/>
        <v>0.20905968064062003</v>
      </c>
      <c r="V18">
        <f t="shared" ca="1" si="1"/>
        <v>-1.565135514475509</v>
      </c>
      <c r="Y18" s="22">
        <f t="shared" si="2"/>
        <v>0</v>
      </c>
    </row>
    <row r="19" spans="1:27" x14ac:dyDescent="0.25">
      <c r="A19">
        <v>17</v>
      </c>
      <c r="B19" t="s">
        <v>5</v>
      </c>
      <c r="C19" t="s">
        <v>6</v>
      </c>
      <c r="D19">
        <v>12</v>
      </c>
      <c r="F19">
        <v>2</v>
      </c>
      <c r="G19">
        <v>0</v>
      </c>
      <c r="H19">
        <v>12</v>
      </c>
      <c r="I19">
        <f>MATCH(J19,R19:T19,0)</f>
        <v>1</v>
      </c>
      <c r="J19">
        <f t="shared" si="0"/>
        <v>0.61800301976876326</v>
      </c>
      <c r="R19">
        <f>1/(1+(EXP($L$3+$M$3*G19+$N$3*H19)+EXP($O$3+$P$3*G19+$Q$3*H19)))</f>
        <v>0.61800301976876326</v>
      </c>
      <c r="S19">
        <f>((EXP($L$3+$M$3*G19+$N$3*H19))/(1+(EXP($L$3+$M$3*G19+$N$3*H19)+EXP($O$3+$P$3*G19+$Q$3*H19))))</f>
        <v>0.20905968064062003</v>
      </c>
      <c r="T19">
        <f>(EXP($O$3+$P$3*G19+$Q$3*H19))/(1+(EXP($L$3+$M$3*G19+$N$3*H19)+EXP($O$3+$P$3*G19+$Q$3*H19)))</f>
        <v>0.17293729959061668</v>
      </c>
      <c r="U19" s="5">
        <f t="shared" ca="1" si="3"/>
        <v>0.20905968064062003</v>
      </c>
      <c r="V19">
        <f t="shared" ca="1" si="1"/>
        <v>-1.565135514475509</v>
      </c>
      <c r="Y19" s="22">
        <f t="shared" si="2"/>
        <v>0</v>
      </c>
      <c r="Z19" s="1" t="s">
        <v>40</v>
      </c>
    </row>
    <row r="20" spans="1:27" x14ac:dyDescent="0.25">
      <c r="A20">
        <v>18</v>
      </c>
      <c r="B20" t="s">
        <v>5</v>
      </c>
      <c r="C20" t="s">
        <v>4</v>
      </c>
      <c r="D20">
        <v>12</v>
      </c>
      <c r="F20">
        <v>2</v>
      </c>
      <c r="G20">
        <v>1</v>
      </c>
      <c r="H20">
        <v>12</v>
      </c>
      <c r="I20">
        <f>MATCH(J20,R20:T20,0)</f>
        <v>3</v>
      </c>
      <c r="J20">
        <f t="shared" si="0"/>
        <v>0.55069058757474643</v>
      </c>
      <c r="R20">
        <f>1/(1+(EXP($L$3+$M$3*G20+$N$3*H20)+EXP($O$3+$P$3*G20+$Q$3*H20)))</f>
        <v>7.0225946181909166E-2</v>
      </c>
      <c r="S20">
        <f>((EXP($L$3+$M$3*G20+$N$3*H20))/(1+(EXP($L$3+$M$3*G20+$N$3*H20)+EXP($O$3+$P$3*G20+$Q$3*H20))))</f>
        <v>0.37908346624334444</v>
      </c>
      <c r="T20">
        <f>(EXP($O$3+$P$3*G20+$Q$3*H20))/(1+(EXP($L$3+$M$3*G20+$N$3*H20)+EXP($O$3+$P$3*G20+$Q$3*H20)))</f>
        <v>0.55069058757474643</v>
      </c>
      <c r="U20" s="5">
        <f t="shared" ca="1" si="3"/>
        <v>0.37908346624334444</v>
      </c>
      <c r="V20">
        <f t="shared" ca="1" si="1"/>
        <v>-0.96999887059124046</v>
      </c>
      <c r="Y20" s="22">
        <f t="shared" si="2"/>
        <v>0</v>
      </c>
      <c r="Z20" t="s">
        <v>38</v>
      </c>
      <c r="AA20">
        <v>-30.774216248327502</v>
      </c>
    </row>
    <row r="21" spans="1:27" x14ac:dyDescent="0.25">
      <c r="A21">
        <v>19</v>
      </c>
      <c r="B21" t="s">
        <v>7</v>
      </c>
      <c r="C21" t="s">
        <v>6</v>
      </c>
      <c r="D21">
        <v>12</v>
      </c>
      <c r="F21">
        <v>1</v>
      </c>
      <c r="G21">
        <v>0</v>
      </c>
      <c r="H21">
        <v>12</v>
      </c>
      <c r="I21">
        <f>MATCH(J21,R21:T21,0)</f>
        <v>1</v>
      </c>
      <c r="J21">
        <f t="shared" si="0"/>
        <v>0.61800301976876326</v>
      </c>
      <c r="R21">
        <f>1/(1+(EXP($L$3+$M$3*G21+$N$3*H21)+EXP($O$3+$P$3*G21+$Q$3*H21)))</f>
        <v>0.61800301976876326</v>
      </c>
      <c r="S21">
        <f>((EXP($L$3+$M$3*G21+$N$3*H21))/(1+(EXP($L$3+$M$3*G21+$N$3*H21)+EXP($O$3+$P$3*G21+$Q$3*H21))))</f>
        <v>0.20905968064062003</v>
      </c>
      <c r="T21">
        <f>(EXP($O$3+$P$3*G21+$Q$3*H21))/(1+(EXP($L$3+$M$3*G21+$N$3*H21)+EXP($O$3+$P$3*G21+$Q$3*H21)))</f>
        <v>0.17293729959061668</v>
      </c>
      <c r="U21" s="5">
        <f t="shared" ca="1" si="3"/>
        <v>0.61800301976876326</v>
      </c>
      <c r="V21">
        <f t="shared" ca="1" si="1"/>
        <v>-0.48126193517916238</v>
      </c>
      <c r="Y21" s="22">
        <f t="shared" si="2"/>
        <v>1</v>
      </c>
      <c r="Z21" t="s">
        <v>32</v>
      </c>
      <c r="AA21">
        <f>2*(AA9-AA20)</f>
        <v>8.6570059493226026</v>
      </c>
    </row>
    <row r="22" spans="1:27" x14ac:dyDescent="0.25">
      <c r="A22">
        <v>20</v>
      </c>
      <c r="B22" t="s">
        <v>3</v>
      </c>
      <c r="C22" t="s">
        <v>4</v>
      </c>
      <c r="D22">
        <v>12</v>
      </c>
      <c r="F22">
        <v>3</v>
      </c>
      <c r="G22">
        <v>1</v>
      </c>
      <c r="H22">
        <v>12</v>
      </c>
      <c r="I22">
        <f>MATCH(J22,R22:T22,0)</f>
        <v>3</v>
      </c>
      <c r="J22">
        <f t="shared" si="0"/>
        <v>0.55069058757474643</v>
      </c>
      <c r="R22">
        <f>1/(1+(EXP($L$3+$M$3*G22+$N$3*H22)+EXP($O$3+$P$3*G22+$Q$3*H22)))</f>
        <v>7.0225946181909166E-2</v>
      </c>
      <c r="S22">
        <f>((EXP($L$3+$M$3*G22+$N$3*H22))/(1+(EXP($L$3+$M$3*G22+$N$3*H22)+EXP($O$3+$P$3*G22+$Q$3*H22))))</f>
        <v>0.37908346624334444</v>
      </c>
      <c r="T22">
        <f>(EXP($O$3+$P$3*G22+$Q$3*H22))/(1+(EXP($L$3+$M$3*G22+$N$3*H22)+EXP($O$3+$P$3*G22+$Q$3*H22)))</f>
        <v>0.55069058757474643</v>
      </c>
      <c r="U22" s="5">
        <f t="shared" ca="1" si="3"/>
        <v>0.55069058757474643</v>
      </c>
      <c r="V22">
        <f t="shared" ca="1" si="1"/>
        <v>-0.59658217460709495</v>
      </c>
      <c r="Y22" s="22">
        <f t="shared" si="2"/>
        <v>1</v>
      </c>
      <c r="Z22" t="s">
        <v>33</v>
      </c>
      <c r="AA22">
        <f>1-_xlfn.CHISQ.DIST(AA21,1,1)</f>
        <v>3.258062026990749E-3</v>
      </c>
    </row>
    <row r="23" spans="1:27" x14ac:dyDescent="0.25">
      <c r="A23">
        <v>21</v>
      </c>
      <c r="B23" t="s">
        <v>3</v>
      </c>
      <c r="C23" t="s">
        <v>4</v>
      </c>
      <c r="D23">
        <v>12</v>
      </c>
      <c r="F23">
        <v>3</v>
      </c>
      <c r="G23">
        <v>1</v>
      </c>
      <c r="H23">
        <v>12</v>
      </c>
      <c r="I23">
        <f>MATCH(J23,R23:T23,0)</f>
        <v>3</v>
      </c>
      <c r="J23">
        <f t="shared" si="0"/>
        <v>0.55069058757474643</v>
      </c>
      <c r="R23">
        <f>1/(1+(EXP($L$3+$M$3*G23+$N$3*H23)+EXP($O$3+$P$3*G23+$Q$3*H23)))</f>
        <v>7.0225946181909166E-2</v>
      </c>
      <c r="S23">
        <f>((EXP($L$3+$M$3*G23+$N$3*H23))/(1+(EXP($L$3+$M$3*G23+$N$3*H23)+EXP($O$3+$P$3*G23+$Q$3*H23))))</f>
        <v>0.37908346624334444</v>
      </c>
      <c r="T23">
        <f>(EXP($O$3+$P$3*G23+$Q$3*H23))/(1+(EXP($L$3+$M$3*G23+$N$3*H23)+EXP($O$3+$P$3*G23+$Q$3*H23)))</f>
        <v>0.55069058757474643</v>
      </c>
      <c r="U23" s="5">
        <f t="shared" ca="1" si="3"/>
        <v>0.55069058757474643</v>
      </c>
      <c r="V23">
        <f t="shared" ca="1" si="1"/>
        <v>-0.59658217460709495</v>
      </c>
      <c r="Y23" s="22">
        <f t="shared" si="2"/>
        <v>1</v>
      </c>
    </row>
    <row r="24" spans="1:27" x14ac:dyDescent="0.25">
      <c r="A24">
        <v>22</v>
      </c>
      <c r="B24" t="s">
        <v>7</v>
      </c>
      <c r="C24" t="s">
        <v>6</v>
      </c>
      <c r="D24">
        <v>12</v>
      </c>
      <c r="F24">
        <v>1</v>
      </c>
      <c r="G24">
        <v>0</v>
      </c>
      <c r="H24">
        <v>12</v>
      </c>
      <c r="I24">
        <f>MATCH(J24,R24:T24,0)</f>
        <v>1</v>
      </c>
      <c r="J24">
        <f t="shared" si="0"/>
        <v>0.61800301976876326</v>
      </c>
      <c r="R24">
        <f>1/(1+(EXP($L$3+$M$3*G24+$N$3*H24)+EXP($O$3+$P$3*G24+$Q$3*H24)))</f>
        <v>0.61800301976876326</v>
      </c>
      <c r="S24">
        <f>((EXP($L$3+$M$3*G24+$N$3*H24))/(1+(EXP($L$3+$M$3*G24+$N$3*H24)+EXP($O$3+$P$3*G24+$Q$3*H24))))</f>
        <v>0.20905968064062003</v>
      </c>
      <c r="T24">
        <f>(EXP($O$3+$P$3*G24+$Q$3*H24))/(1+(EXP($L$3+$M$3*G24+$N$3*H24)+EXP($O$3+$P$3*G24+$Q$3*H24)))</f>
        <v>0.17293729959061668</v>
      </c>
      <c r="U24" s="5">
        <f t="shared" ca="1" si="3"/>
        <v>0.61800301976876326</v>
      </c>
      <c r="V24">
        <f t="shared" ca="1" si="1"/>
        <v>-0.48126193517916238</v>
      </c>
      <c r="Y24" s="22">
        <f t="shared" si="2"/>
        <v>1</v>
      </c>
      <c r="Z24" s="1" t="s">
        <v>41</v>
      </c>
    </row>
    <row r="25" spans="1:27" x14ac:dyDescent="0.25">
      <c r="A25">
        <v>23</v>
      </c>
      <c r="B25" t="s">
        <v>7</v>
      </c>
      <c r="C25" t="s">
        <v>4</v>
      </c>
      <c r="D25">
        <v>13</v>
      </c>
      <c r="F25">
        <v>1</v>
      </c>
      <c r="G25">
        <v>1</v>
      </c>
      <c r="H25">
        <v>13</v>
      </c>
      <c r="I25">
        <f>MATCH(J25,R25:T25,0)</f>
        <v>3</v>
      </c>
      <c r="J25">
        <f t="shared" si="0"/>
        <v>0.52141078445722122</v>
      </c>
      <c r="R25">
        <f>1/(1+(EXP($L$3+$M$3*G25+$N$3*H25)+EXP($O$3+$P$3*G25+$Q$3*H25)))</f>
        <v>0.16173090248835076</v>
      </c>
      <c r="S25">
        <f>((EXP($L$3+$M$3*G25+$N$3*H25))/(1+(EXP($L$3+$M$3*G25+$N$3*H25)+EXP($O$3+$P$3*G25+$Q$3*H25))))</f>
        <v>0.31685831305442796</v>
      </c>
      <c r="T25">
        <f>(EXP($O$3+$P$3*G25+$Q$3*H25))/(1+(EXP($L$3+$M$3*G25+$N$3*H25)+EXP($O$3+$P$3*G25+$Q$3*H25)))</f>
        <v>0.52141078445722122</v>
      </c>
      <c r="U25" s="5">
        <f t="shared" ca="1" si="3"/>
        <v>0.16173090248835076</v>
      </c>
      <c r="V25">
        <f t="shared" ca="1" si="1"/>
        <v>-1.8218214206499137</v>
      </c>
      <c r="Y25" s="22">
        <f t="shared" si="2"/>
        <v>0</v>
      </c>
      <c r="Z25" t="s">
        <v>35</v>
      </c>
      <c r="AA25">
        <v>-28.286812905307507</v>
      </c>
    </row>
    <row r="26" spans="1:27" x14ac:dyDescent="0.25">
      <c r="A26">
        <v>24</v>
      </c>
      <c r="B26" t="s">
        <v>3</v>
      </c>
      <c r="C26" t="s">
        <v>4</v>
      </c>
      <c r="D26">
        <v>13</v>
      </c>
      <c r="F26">
        <v>3</v>
      </c>
      <c r="G26">
        <v>1</v>
      </c>
      <c r="H26">
        <v>13</v>
      </c>
      <c r="I26">
        <f>MATCH(J26,R26:T26,0)</f>
        <v>3</v>
      </c>
      <c r="J26">
        <f t="shared" si="0"/>
        <v>0.52141078445722122</v>
      </c>
      <c r="R26">
        <f>1/(1+(EXP($L$3+$M$3*G26+$N$3*H26)+EXP($O$3+$P$3*G26+$Q$3*H26)))</f>
        <v>0.16173090248835076</v>
      </c>
      <c r="S26">
        <f>((EXP($L$3+$M$3*G26+$N$3*H26))/(1+(EXP($L$3+$M$3*G26+$N$3*H26)+EXP($O$3+$P$3*G26+$Q$3*H26))))</f>
        <v>0.31685831305442796</v>
      </c>
      <c r="T26">
        <f>(EXP($O$3+$P$3*G26+$Q$3*H26))/(1+(EXP($L$3+$M$3*G26+$N$3*H26)+EXP($O$3+$P$3*G26+$Q$3*H26)))</f>
        <v>0.52141078445722122</v>
      </c>
      <c r="U26" s="5">
        <f t="shared" ca="1" si="3"/>
        <v>0.52141078445722122</v>
      </c>
      <c r="V26">
        <f t="shared" ca="1" si="1"/>
        <v>-0.65121709404259043</v>
      </c>
      <c r="Y26" s="22">
        <f t="shared" si="2"/>
        <v>1</v>
      </c>
      <c r="Z26" t="s">
        <v>32</v>
      </c>
      <c r="AA26">
        <f>2*(AA9-AA25)</f>
        <v>3.6821992632826124</v>
      </c>
    </row>
    <row r="27" spans="1:27" x14ac:dyDescent="0.25">
      <c r="A27">
        <v>25</v>
      </c>
      <c r="B27" t="s">
        <v>7</v>
      </c>
      <c r="C27" t="s">
        <v>6</v>
      </c>
      <c r="D27">
        <v>13</v>
      </c>
      <c r="F27">
        <v>1</v>
      </c>
      <c r="G27">
        <v>0</v>
      </c>
      <c r="H27">
        <v>13</v>
      </c>
      <c r="I27">
        <f>MATCH(J27,R27:T27,0)</f>
        <v>1</v>
      </c>
      <c r="J27">
        <f t="shared" si="0"/>
        <v>0.80786979868363007</v>
      </c>
      <c r="R27">
        <f>1/(1+(EXP($L$3+$M$3*G27+$N$3*H27)+EXP($O$3+$P$3*G27+$Q$3*H27)))</f>
        <v>0.80786979868363007</v>
      </c>
      <c r="S27">
        <f>((EXP($L$3+$M$3*G27+$N$3*H27))/(1+(EXP($L$3+$M$3*G27+$N$3*H27)+EXP($O$3+$P$3*G27+$Q$3*H27))))</f>
        <v>9.9187263879488591E-2</v>
      </c>
      <c r="T27">
        <f>(EXP($O$3+$P$3*G27+$Q$3*H27))/(1+(EXP($L$3+$M$3*G27+$N$3*H27)+EXP($O$3+$P$3*G27+$Q$3*H27)))</f>
        <v>9.2942937436881382E-2</v>
      </c>
      <c r="U27" s="5">
        <f t="shared" ca="1" si="3"/>
        <v>0.80786979868363007</v>
      </c>
      <c r="V27">
        <f t="shared" ca="1" si="1"/>
        <v>-0.21335437368855764</v>
      </c>
      <c r="Y27" s="22">
        <f t="shared" si="2"/>
        <v>1</v>
      </c>
      <c r="Z27" t="s">
        <v>33</v>
      </c>
      <c r="AA27">
        <f>1-_xlfn.CHISQ.DIST(AA26,1,1)</f>
        <v>5.4996263276931634E-2</v>
      </c>
    </row>
    <row r="28" spans="1:27" x14ac:dyDescent="0.25">
      <c r="A28">
        <v>26</v>
      </c>
      <c r="B28" t="s">
        <v>7</v>
      </c>
      <c r="C28" t="s">
        <v>6</v>
      </c>
      <c r="D28">
        <v>13</v>
      </c>
      <c r="F28">
        <v>1</v>
      </c>
      <c r="G28">
        <v>0</v>
      </c>
      <c r="H28">
        <v>13</v>
      </c>
      <c r="I28">
        <f>MATCH(J28,R28:T28,0)</f>
        <v>1</v>
      </c>
      <c r="J28">
        <f t="shared" si="0"/>
        <v>0.80786979868363007</v>
      </c>
      <c r="R28">
        <f>1/(1+(EXP($L$3+$M$3*G28+$N$3*H28)+EXP($O$3+$P$3*G28+$Q$3*H28)))</f>
        <v>0.80786979868363007</v>
      </c>
      <c r="S28">
        <f>((EXP($L$3+$M$3*G28+$N$3*H28))/(1+(EXP($L$3+$M$3*G28+$N$3*H28)+EXP($O$3+$P$3*G28+$Q$3*H28))))</f>
        <v>9.9187263879488591E-2</v>
      </c>
      <c r="T28">
        <f>(EXP($O$3+$P$3*G28+$Q$3*H28))/(1+(EXP($L$3+$M$3*G28+$N$3*H28)+EXP($O$3+$P$3*G28+$Q$3*H28)))</f>
        <v>9.2942937436881382E-2</v>
      </c>
      <c r="U28" s="5">
        <f t="shared" ca="1" si="3"/>
        <v>0.80786979868363007</v>
      </c>
      <c r="V28">
        <f t="shared" ca="1" si="1"/>
        <v>-0.21335437368855764</v>
      </c>
      <c r="Y28" s="22">
        <f t="shared" si="2"/>
        <v>1</v>
      </c>
    </row>
    <row r="29" spans="1:27" x14ac:dyDescent="0.25">
      <c r="A29">
        <v>27</v>
      </c>
      <c r="B29" t="s">
        <v>3</v>
      </c>
      <c r="C29" t="s">
        <v>4</v>
      </c>
      <c r="D29">
        <v>13</v>
      </c>
      <c r="F29">
        <v>3</v>
      </c>
      <c r="G29">
        <v>1</v>
      </c>
      <c r="H29">
        <v>13</v>
      </c>
      <c r="I29">
        <f>MATCH(J29,R29:T29,0)</f>
        <v>3</v>
      </c>
      <c r="J29">
        <f t="shared" si="0"/>
        <v>0.52141078445722122</v>
      </c>
      <c r="R29">
        <f>1/(1+(EXP($L$3+$M$3*G29+$N$3*H29)+EXP($O$3+$P$3*G29+$Q$3*H29)))</f>
        <v>0.16173090248835076</v>
      </c>
      <c r="S29">
        <f>((EXP($L$3+$M$3*G29+$N$3*H29))/(1+(EXP($L$3+$M$3*G29+$N$3*H29)+EXP($O$3+$P$3*G29+$Q$3*H29))))</f>
        <v>0.31685831305442796</v>
      </c>
      <c r="T29">
        <f>(EXP($O$3+$P$3*G29+$Q$3*H29))/(1+(EXP($L$3+$M$3*G29+$N$3*H29)+EXP($O$3+$P$3*G29+$Q$3*H29)))</f>
        <v>0.52141078445722122</v>
      </c>
      <c r="U29" s="5">
        <f t="shared" ca="1" si="3"/>
        <v>0.52141078445722122</v>
      </c>
      <c r="V29">
        <f t="shared" ca="1" si="1"/>
        <v>-0.65121709404259043</v>
      </c>
      <c r="Y29" s="22">
        <f t="shared" si="2"/>
        <v>1</v>
      </c>
      <c r="Z29" s="1" t="s">
        <v>42</v>
      </c>
    </row>
    <row r="30" spans="1:27" x14ac:dyDescent="0.25">
      <c r="A30">
        <v>28</v>
      </c>
      <c r="B30" t="s">
        <v>5</v>
      </c>
      <c r="C30" t="s">
        <v>4</v>
      </c>
      <c r="D30">
        <v>13</v>
      </c>
      <c r="F30">
        <v>2</v>
      </c>
      <c r="G30">
        <v>1</v>
      </c>
      <c r="H30">
        <v>13</v>
      </c>
      <c r="I30">
        <f>MATCH(J30,R30:T30,0)</f>
        <v>3</v>
      </c>
      <c r="J30">
        <f t="shared" si="0"/>
        <v>0.52141078445722122</v>
      </c>
      <c r="R30">
        <f>1/(1+(EXP($L$3+$M$3*G30+$N$3*H30)+EXP($O$3+$P$3*G30+$Q$3*H30)))</f>
        <v>0.16173090248835076</v>
      </c>
      <c r="S30">
        <f>((EXP($L$3+$M$3*G30+$N$3*H30))/(1+(EXP($L$3+$M$3*G30+$N$3*H30)+EXP($O$3+$P$3*G30+$Q$3*H30))))</f>
        <v>0.31685831305442796</v>
      </c>
      <c r="T30">
        <f>(EXP($O$3+$P$3*G30+$Q$3*H30))/(1+(EXP($L$3+$M$3*G30+$N$3*H30)+EXP($O$3+$P$3*G30+$Q$3*H30)))</f>
        <v>0.52141078445722122</v>
      </c>
      <c r="U30" s="5">
        <f t="shared" ca="1" si="3"/>
        <v>0.31685831305442796</v>
      </c>
      <c r="V30">
        <f t="shared" ca="1" si="1"/>
        <v>-1.1493005669955465</v>
      </c>
      <c r="Y30" s="22">
        <f t="shared" si="2"/>
        <v>0</v>
      </c>
      <c r="Z30" t="s">
        <v>38</v>
      </c>
      <c r="AA30">
        <v>-27.796322690420492</v>
      </c>
    </row>
    <row r="31" spans="1:27" x14ac:dyDescent="0.25">
      <c r="A31">
        <v>29</v>
      </c>
      <c r="B31" t="s">
        <v>3</v>
      </c>
      <c r="C31" t="s">
        <v>6</v>
      </c>
      <c r="D31">
        <v>13</v>
      </c>
      <c r="F31">
        <v>3</v>
      </c>
      <c r="G31">
        <v>0</v>
      </c>
      <c r="H31">
        <v>13</v>
      </c>
      <c r="I31">
        <f>MATCH(J31,R31:T31,0)</f>
        <v>1</v>
      </c>
      <c r="J31">
        <f t="shared" si="0"/>
        <v>0.80786979868363007</v>
      </c>
      <c r="R31">
        <f>1/(1+(EXP($L$3+$M$3*G31+$N$3*H31)+EXP($O$3+$P$3*G31+$Q$3*H31)))</f>
        <v>0.80786979868363007</v>
      </c>
      <c r="S31">
        <f>((EXP($L$3+$M$3*G31+$N$3*H31))/(1+(EXP($L$3+$M$3*G31+$N$3*H31)+EXP($O$3+$P$3*G31+$Q$3*H31))))</f>
        <v>9.9187263879488591E-2</v>
      </c>
      <c r="T31">
        <f>(EXP($O$3+$P$3*G31+$Q$3*H31))/(1+(EXP($L$3+$M$3*G31+$N$3*H31)+EXP($O$3+$P$3*G31+$Q$3*H31)))</f>
        <v>9.2942937436881382E-2</v>
      </c>
      <c r="U31" s="5">
        <f t="shared" ca="1" si="3"/>
        <v>9.2942937436881382E-2</v>
      </c>
      <c r="V31">
        <f t="shared" ca="1" si="1"/>
        <v>-2.3757695500911491</v>
      </c>
      <c r="Y31" s="22">
        <f t="shared" si="2"/>
        <v>0</v>
      </c>
      <c r="Z31" t="s">
        <v>32</v>
      </c>
      <c r="AA31">
        <f>2*(AA9-AA30)</f>
        <v>2.7012188335085838</v>
      </c>
    </row>
    <row r="32" spans="1:27" x14ac:dyDescent="0.25">
      <c r="A32">
        <v>30</v>
      </c>
      <c r="B32" t="s">
        <v>7</v>
      </c>
      <c r="C32" t="s">
        <v>6</v>
      </c>
      <c r="D32">
        <v>13</v>
      </c>
      <c r="F32">
        <v>1</v>
      </c>
      <c r="G32">
        <v>0</v>
      </c>
      <c r="H32">
        <v>13</v>
      </c>
      <c r="I32">
        <f>MATCH(J32,R32:T32,0)</f>
        <v>1</v>
      </c>
      <c r="J32">
        <f t="shared" si="0"/>
        <v>0.80786979868363007</v>
      </c>
      <c r="R32">
        <f>1/(1+(EXP($L$3+$M$3*G32+$N$3*H32)+EXP($O$3+$P$3*G32+$Q$3*H32)))</f>
        <v>0.80786979868363007</v>
      </c>
      <c r="S32">
        <f>((EXP($L$3+$M$3*G32+$N$3*H32))/(1+(EXP($L$3+$M$3*G32+$N$3*H32)+EXP($O$3+$P$3*G32+$Q$3*H32))))</f>
        <v>9.9187263879488591E-2</v>
      </c>
      <c r="T32">
        <f>(EXP($O$3+$P$3*G32+$Q$3*H32))/(1+(EXP($L$3+$M$3*G32+$N$3*H32)+EXP($O$3+$P$3*G32+$Q$3*H32)))</f>
        <v>9.2942937436881382E-2</v>
      </c>
      <c r="U32" s="5">
        <f t="shared" ca="1" si="3"/>
        <v>0.80786979868363007</v>
      </c>
      <c r="V32">
        <f t="shared" ca="1" si="1"/>
        <v>-0.21335437368855764</v>
      </c>
      <c r="Y32" s="22">
        <f t="shared" si="2"/>
        <v>1</v>
      </c>
      <c r="Z32" t="s">
        <v>33</v>
      </c>
      <c r="AA32">
        <f>1-_xlfn.CHISQ.DIST(AA31,1,1)</f>
        <v>0.10027156441608498</v>
      </c>
    </row>
  </sheetData>
  <mergeCells count="5">
    <mergeCell ref="AD2:AJ13"/>
    <mergeCell ref="Z1:AB1"/>
    <mergeCell ref="L1:N1"/>
    <mergeCell ref="O1:Q1"/>
    <mergeCell ref="Z4:AB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A75"/>
  <sheetViews>
    <sheetView workbookViewId="0">
      <selection activeCell="I3" sqref="I3:K3"/>
    </sheetView>
  </sheetViews>
  <sheetFormatPr defaultRowHeight="15" x14ac:dyDescent="0.25"/>
  <cols>
    <col min="1" max="1" width="9.140625" style="22"/>
    <col min="2" max="2" width="8.7109375" style="22" customWidth="1"/>
    <col min="3" max="3" width="7.140625" style="22" customWidth="1"/>
    <col min="4" max="4" width="11.42578125" style="22" bestFit="1" customWidth="1"/>
    <col min="5" max="6" width="12.7109375" bestFit="1" customWidth="1"/>
    <col min="9" max="11" width="12" bestFit="1" customWidth="1"/>
    <col min="14" max="14" width="2.5703125" customWidth="1"/>
    <col min="16" max="16" width="22.28515625" bestFit="1" customWidth="1"/>
  </cols>
  <sheetData>
    <row r="1" spans="1:27" x14ac:dyDescent="0.25">
      <c r="E1" t="s">
        <v>24</v>
      </c>
      <c r="F1" t="s">
        <v>25</v>
      </c>
      <c r="G1" s="25" t="s">
        <v>26</v>
      </c>
      <c r="H1" s="25"/>
      <c r="S1" s="28" t="s">
        <v>28</v>
      </c>
      <c r="T1" s="28"/>
      <c r="U1" s="28"/>
    </row>
    <row r="2" spans="1:27" ht="15" customHeight="1" x14ac:dyDescent="0.25">
      <c r="A2" s="22" t="s">
        <v>18</v>
      </c>
      <c r="B2" s="23" t="s">
        <v>119</v>
      </c>
      <c r="C2" s="23" t="s">
        <v>12</v>
      </c>
      <c r="D2" s="23" t="s">
        <v>13</v>
      </c>
      <c r="E2" s="1" t="s">
        <v>14</v>
      </c>
      <c r="F2" s="1" t="s">
        <v>14</v>
      </c>
      <c r="G2" s="1" t="s">
        <v>15</v>
      </c>
      <c r="H2" s="1" t="s">
        <v>16</v>
      </c>
      <c r="I2" t="s">
        <v>116</v>
      </c>
      <c r="J2" t="s">
        <v>117</v>
      </c>
      <c r="K2" t="s">
        <v>118</v>
      </c>
      <c r="L2" t="s">
        <v>19</v>
      </c>
      <c r="M2" t="s">
        <v>114</v>
      </c>
      <c r="O2" t="s">
        <v>9</v>
      </c>
      <c r="P2" t="s">
        <v>27</v>
      </c>
      <c r="Q2" t="s">
        <v>21</v>
      </c>
      <c r="S2">
        <v>1</v>
      </c>
      <c r="T2">
        <v>2</v>
      </c>
      <c r="U2">
        <v>3</v>
      </c>
      <c r="W2" s="27" t="s">
        <v>109</v>
      </c>
      <c r="X2" s="27"/>
      <c r="Y2" s="27"/>
      <c r="Z2" s="27"/>
      <c r="AA2" s="27"/>
    </row>
    <row r="3" spans="1:27" x14ac:dyDescent="0.25">
      <c r="A3" s="22">
        <v>1</v>
      </c>
      <c r="B3" s="22">
        <v>1</v>
      </c>
      <c r="C3" s="22">
        <v>1</v>
      </c>
      <c r="D3" s="22">
        <v>62</v>
      </c>
      <c r="E3" s="31">
        <v>-6.8420080150839366</v>
      </c>
      <c r="F3" s="31">
        <v>-3.3213001749672193</v>
      </c>
      <c r="G3" s="31">
        <v>-0.20144189442191343</v>
      </c>
      <c r="H3" s="31">
        <v>0.12128963436606209</v>
      </c>
      <c r="I3">
        <f>(EXP($E$3+$G$3*C3+$H$3*D3)/(1+EXP($E$3+$G$3*C3+$H$3*D3)))</f>
        <v>0.61692281468013466</v>
      </c>
      <c r="J3">
        <f>-(EXP($E$3+$G$3*C3+$H$3*D3)/(1+EXP($E$3+$G$3*C3+$H$3*D3)))+(EXP($F$3+$G$3*C3+$H$3*D3)/(1+EXP($F$3+$G$3*C3+$H$3*D3)))</f>
        <v>0.36504172325795248</v>
      </c>
      <c r="K3">
        <f>1-I3-J3</f>
        <v>1.8035462061912866E-2</v>
      </c>
      <c r="L3">
        <f ca="1">LOG(OFFSET($H$2,A3,B3))</f>
        <v>-0.20976916863351247</v>
      </c>
      <c r="M3">
        <f ca="1">SUM(L3:L75)</f>
        <v>-25.749299852881258</v>
      </c>
      <c r="O3">
        <f>MAX(I3:K3)</f>
        <v>0.61692281468013466</v>
      </c>
      <c r="P3">
        <f>MATCH(O3,I3:K3,0)</f>
        <v>1</v>
      </c>
      <c r="Q3">
        <f>IF(B3=P3,1,0)</f>
        <v>1</v>
      </c>
      <c r="S3" s="8">
        <f>AVERAGEIFS($Q$3:$Q$75,$B$3:$B$75,S2)</f>
        <v>0.13333333333333333</v>
      </c>
      <c r="T3" s="8">
        <f>AVERAGEIFS($Q$3:$Q$75,$B$3:$B$75,T2)</f>
        <v>0.91304347826086951</v>
      </c>
      <c r="U3" s="8">
        <f>AVERAGEIFS($Q$3:$Q$75,$B$3:$B$75,U2)</f>
        <v>0</v>
      </c>
      <c r="W3" s="27"/>
      <c r="X3" s="27"/>
      <c r="Y3" s="27"/>
      <c r="Z3" s="27"/>
      <c r="AA3" s="27"/>
    </row>
    <row r="4" spans="1:27" x14ac:dyDescent="0.25">
      <c r="A4" s="22">
        <v>2</v>
      </c>
      <c r="B4" s="22">
        <v>1</v>
      </c>
      <c r="C4" s="22">
        <v>0</v>
      </c>
      <c r="D4" s="22">
        <v>46</v>
      </c>
      <c r="I4">
        <f>(EXP($E$3+$G$3*C4+$H$3*D4)/(1+EXP($E$3+$G$3*C4+$H$3*D4)))</f>
        <v>0.22051205921073316</v>
      </c>
      <c r="J4">
        <f>-(EXP($E$3+$G$3*C4+$H$3*D4)/(1+EXP($E$3+$G$3*C4+$H$3*D4)))+(EXP($F$3+$G$3*C4+$H$3*D4)/(1+EXP($F$3+$G$3*C4+$H$3*D4)))</f>
        <v>0.68482828072396296</v>
      </c>
      <c r="K4">
        <f t="shared" ref="K4:K67" si="0">1-I4-J4</f>
        <v>9.4659660065303908E-2</v>
      </c>
      <c r="L4">
        <f t="shared" ref="L4:L67" ca="1" si="1">LOG(OFFSET($H$2,A4,B4))</f>
        <v>-0.65656765515092996</v>
      </c>
      <c r="O4">
        <f>MAX(I4:K4)</f>
        <v>0.68482828072396296</v>
      </c>
      <c r="P4">
        <f>MATCH(O4,I4:K4,0)</f>
        <v>2</v>
      </c>
      <c r="Q4">
        <f>IF(B4=P4,1,0)</f>
        <v>0</v>
      </c>
      <c r="S4" s="28" t="s">
        <v>29</v>
      </c>
      <c r="T4" s="28"/>
      <c r="U4" s="28"/>
      <c r="W4" s="27"/>
      <c r="X4" s="27"/>
      <c r="Y4" s="27"/>
      <c r="Z4" s="27"/>
      <c r="AA4" s="27"/>
    </row>
    <row r="5" spans="1:27" x14ac:dyDescent="0.25">
      <c r="A5" s="22">
        <v>3</v>
      </c>
      <c r="B5" s="22">
        <v>2</v>
      </c>
      <c r="C5" s="22">
        <v>1</v>
      </c>
      <c r="D5" s="22">
        <v>48.5</v>
      </c>
      <c r="I5">
        <f>(EXP($E$3+$G$3*C5+$H$3*D5)/(1+EXP($E$3+$G$3*C5+$H$3*D5)))</f>
        <v>0.23850330895586141</v>
      </c>
      <c r="J5">
        <f>-(EXP($E$3+$G$3*C5+$H$3*D5)/(1+EXP($E$3+$G$3*C5+$H$3*D5)))+(EXP($F$3+$G$3*C5+$H$3*D5)/(1+EXP($F$3+$G$3*C5+$H$3*D5)))</f>
        <v>0.67520713883219696</v>
      </c>
      <c r="K5">
        <f t="shared" si="0"/>
        <v>8.6289552211941567E-2</v>
      </c>
      <c r="L5">
        <f t="shared" ca="1" si="1"/>
        <v>-0.17056297464804029</v>
      </c>
      <c r="O5">
        <f>MAX(I5:K5)</f>
        <v>0.67520713883219696</v>
      </c>
      <c r="P5">
        <f>MATCH(O5,I5:K5,0)</f>
        <v>2</v>
      </c>
      <c r="Q5">
        <f>IF(B5=P5,1,0)</f>
        <v>1</v>
      </c>
      <c r="S5">
        <v>1</v>
      </c>
      <c r="T5">
        <v>2</v>
      </c>
      <c r="U5">
        <v>3</v>
      </c>
      <c r="W5" s="27"/>
      <c r="X5" s="27"/>
      <c r="Y5" s="27"/>
      <c r="Z5" s="27"/>
      <c r="AA5" s="27"/>
    </row>
    <row r="6" spans="1:27" x14ac:dyDescent="0.25">
      <c r="A6" s="22">
        <v>4</v>
      </c>
      <c r="B6" s="22">
        <v>3</v>
      </c>
      <c r="C6" s="22">
        <v>0</v>
      </c>
      <c r="D6" s="22">
        <v>32</v>
      </c>
      <c r="I6">
        <f>(EXP($E$3+$G$3*C6+$H$3*D6)/(1+EXP($E$3+$G$3*C6+$H$3*D6)))</f>
        <v>4.9231370204093003E-2</v>
      </c>
      <c r="J6">
        <f>-(EXP($E$3+$G$3*C6+$H$3*D6)/(1+EXP($E$3+$G$3*C6+$H$3*D6)))+(EXP($F$3+$G$3*C6+$H$3*D6)/(1+EXP($F$3+$G$3*C6+$H$3*D6)))</f>
        <v>0.5872137947268542</v>
      </c>
      <c r="K6">
        <f t="shared" si="0"/>
        <v>0.36355483506905284</v>
      </c>
      <c r="L6">
        <f t="shared" ca="1" si="1"/>
        <v>-0.43943007511626264</v>
      </c>
      <c r="O6">
        <f>MAX(I6:K6)</f>
        <v>0.5872137947268542</v>
      </c>
      <c r="P6">
        <f>MATCH(O6,I6:K6,0)</f>
        <v>2</v>
      </c>
      <c r="Q6">
        <f>IF(B6=P6,1,0)</f>
        <v>0</v>
      </c>
      <c r="S6">
        <f>COUNTIF($B$3:$B$75,S5)</f>
        <v>15</v>
      </c>
      <c r="T6">
        <f t="shared" ref="T6:U6" si="2">COUNTIF($B$3:$B$75,T5)</f>
        <v>46</v>
      </c>
      <c r="U6">
        <f t="shared" si="2"/>
        <v>12</v>
      </c>
      <c r="W6" s="27"/>
      <c r="X6" s="27"/>
      <c r="Y6" s="27"/>
      <c r="Z6" s="27"/>
      <c r="AA6" s="27"/>
    </row>
    <row r="7" spans="1:27" x14ac:dyDescent="0.25">
      <c r="A7" s="22">
        <v>5</v>
      </c>
      <c r="B7" s="22">
        <v>2</v>
      </c>
      <c r="C7" s="22">
        <v>1</v>
      </c>
      <c r="D7" s="22">
        <v>63.5</v>
      </c>
      <c r="I7">
        <f>(EXP($E$3+$G$3*C7+$H$3*D7)/(1+EXP($E$3+$G$3*C7+$H$3*D7)))</f>
        <v>0.65891028997012768</v>
      </c>
      <c r="J7">
        <f>-(EXP($E$3+$G$3*C7+$H$3*D7)/(1+EXP($E$3+$G$3*C7+$H$3*D7)))+(EXP($F$3+$G$3*C7+$H$3*D7)/(1+EXP($F$3+$G$3*C7+$H$3*D7)))</f>
        <v>0.32600909594949568</v>
      </c>
      <c r="K7">
        <f t="shared" si="0"/>
        <v>1.5080614080376642E-2</v>
      </c>
      <c r="L7">
        <f t="shared" ca="1" si="1"/>
        <v>-0.48677028255302918</v>
      </c>
      <c r="O7">
        <f>MAX(I7:K7)</f>
        <v>0.65891028997012768</v>
      </c>
      <c r="P7">
        <f>MATCH(O7,I7:K7,0)</f>
        <v>1</v>
      </c>
      <c r="Q7">
        <f>IF(B7=P7,1,0)</f>
        <v>0</v>
      </c>
      <c r="W7" s="27"/>
      <c r="X7" s="27"/>
      <c r="Y7" s="27"/>
      <c r="Z7" s="27"/>
      <c r="AA7" s="27"/>
    </row>
    <row r="8" spans="1:27" x14ac:dyDescent="0.25">
      <c r="A8" s="22">
        <v>6</v>
      </c>
      <c r="B8" s="22">
        <v>1</v>
      </c>
      <c r="C8" s="22">
        <v>1</v>
      </c>
      <c r="D8" s="22">
        <v>41.25</v>
      </c>
      <c r="I8">
        <f>(EXP($E$3+$G$3*C8+$H$3*D8)/(1+EXP($E$3+$G$3*C8+$H$3*D8)))</f>
        <v>0.11504102420774701</v>
      </c>
      <c r="J8">
        <f>-(EXP($E$3+$G$3*C8+$H$3*D8)/(1+EXP($E$3+$G$3*C8+$H$3*D8)))+(EXP($F$3+$G$3*C8+$H$3*D8)/(1+EXP($F$3+$G$3*C8+$H$3*D8)))</f>
        <v>0.69960032430459884</v>
      </c>
      <c r="K8">
        <f t="shared" si="0"/>
        <v>0.18535865148765418</v>
      </c>
      <c r="L8">
        <f t="shared" ca="1" si="1"/>
        <v>-0.93914726042961416</v>
      </c>
      <c r="O8">
        <f>MAX(I8:K8)</f>
        <v>0.69960032430459884</v>
      </c>
      <c r="P8">
        <f>MATCH(O8,I8:K8,0)</f>
        <v>2</v>
      </c>
      <c r="Q8">
        <f>IF(B8=P8,1,0)</f>
        <v>0</v>
      </c>
      <c r="S8" s="1" t="s">
        <v>30</v>
      </c>
      <c r="W8" s="27"/>
      <c r="X8" s="27"/>
      <c r="Y8" s="27"/>
      <c r="Z8" s="27"/>
      <c r="AA8" s="27"/>
    </row>
    <row r="9" spans="1:27" x14ac:dyDescent="0.25">
      <c r="A9" s="22">
        <v>7</v>
      </c>
      <c r="B9" s="22">
        <v>2</v>
      </c>
      <c r="C9" s="22">
        <v>0</v>
      </c>
      <c r="D9" s="22">
        <v>40</v>
      </c>
      <c r="I9">
        <f>(EXP($E$3+$G$3*C9+$H$3*D9)/(1+EXP($E$3+$G$3*C9+$H$3*D9)))</f>
        <v>0.12021215633483136</v>
      </c>
      <c r="J9">
        <f>-(EXP($E$3+$G$3*C9+$H$3*D9)/(1+EXP($E$3+$G$3*C9+$H$3*D9)))+(EXP($F$3+$G$3*C9+$H$3*D9)/(1+EXP($F$3+$G$3*C9+$H$3*D9)))</f>
        <v>0.7018358821627958</v>
      </c>
      <c r="K9">
        <f t="shared" si="0"/>
        <v>0.1779519615023728</v>
      </c>
      <c r="L9">
        <f t="shared" ca="1" si="1"/>
        <v>-0.15376443175051582</v>
      </c>
      <c r="O9">
        <f>MAX(I9:K9)</f>
        <v>0.7018358821627958</v>
      </c>
      <c r="P9">
        <f>MATCH(O9,I9:K9,0)</f>
        <v>2</v>
      </c>
      <c r="Q9">
        <f>IF(B9=P9,1,0)</f>
        <v>1</v>
      </c>
      <c r="S9" t="s">
        <v>31</v>
      </c>
      <c r="T9" s="5">
        <v>-59.289954113066749</v>
      </c>
      <c r="W9" s="27"/>
      <c r="X9" s="27"/>
      <c r="Y9" s="27"/>
      <c r="Z9" s="27"/>
      <c r="AA9" s="27"/>
    </row>
    <row r="10" spans="1:27" x14ac:dyDescent="0.25">
      <c r="A10" s="22">
        <v>8</v>
      </c>
      <c r="B10" s="22">
        <v>3</v>
      </c>
      <c r="C10" s="22">
        <v>1</v>
      </c>
      <c r="D10" s="22">
        <v>34.25</v>
      </c>
      <c r="I10">
        <f>(EXP($E$3+$G$3*C10+$H$3*D10)/(1+EXP($E$3+$G$3*C10+$H$3*D10)))</f>
        <v>5.2686045595133332E-2</v>
      </c>
      <c r="J10">
        <f>-(EXP($E$3+$G$3*C10+$H$3*D10)/(1+EXP($E$3+$G$3*C10+$H$3*D10)))+(EXP($F$3+$G$3*C10+$H$3*D10)/(1+EXP($F$3+$G$3*C10+$H$3*D10)))</f>
        <v>0.60012711978325195</v>
      </c>
      <c r="K10">
        <f t="shared" si="0"/>
        <v>0.3471868346216147</v>
      </c>
      <c r="L10">
        <f t="shared" ca="1" si="1"/>
        <v>-0.45943675169713166</v>
      </c>
      <c r="O10">
        <f>MAX(I10:K10)</f>
        <v>0.60012711978325195</v>
      </c>
      <c r="P10">
        <f>MATCH(O10,I10:K10,0)</f>
        <v>2</v>
      </c>
      <c r="Q10">
        <f>IF(B10=P10,1,0)</f>
        <v>0</v>
      </c>
      <c r="S10" t="s">
        <v>34</v>
      </c>
      <c r="T10" s="5">
        <v>-66.646402151528818</v>
      </c>
      <c r="W10" s="27"/>
      <c r="X10" s="27"/>
      <c r="Y10" s="27"/>
      <c r="Z10" s="27"/>
      <c r="AA10" s="27"/>
    </row>
    <row r="11" spans="1:27" x14ac:dyDescent="0.25">
      <c r="A11" s="22">
        <v>9</v>
      </c>
      <c r="B11" s="22">
        <v>2</v>
      </c>
      <c r="C11" s="22">
        <v>1</v>
      </c>
      <c r="D11" s="22">
        <v>34.75</v>
      </c>
      <c r="I11">
        <f>(EXP($E$3+$G$3*C11+$H$3*D11)/(1+EXP($E$3+$G$3*C11+$H$3*D11)))</f>
        <v>5.5796260621289902E-2</v>
      </c>
      <c r="J11">
        <f>-(EXP($E$3+$G$3*C11+$H$3*D11)/(1+EXP($E$3+$G$3*C11+$H$3*D11)))+(EXP($F$3+$G$3*C11+$H$3*D11)/(1+EXP($F$3+$G$3*C11+$H$3*D11)))</f>
        <v>0.61063159536345157</v>
      </c>
      <c r="K11">
        <f t="shared" si="0"/>
        <v>0.33357214401525848</v>
      </c>
      <c r="L11">
        <f t="shared" ca="1" si="1"/>
        <v>-0.21422072814577492</v>
      </c>
      <c r="O11">
        <f>MAX(I11:K11)</f>
        <v>0.61063159536345157</v>
      </c>
      <c r="P11">
        <f>MATCH(O11,I11:K11,0)</f>
        <v>2</v>
      </c>
      <c r="Q11">
        <f>IF(B11=P11,1,0)</f>
        <v>1</v>
      </c>
      <c r="S11" t="s">
        <v>32</v>
      </c>
      <c r="T11">
        <f>2*(T9-T10)</f>
        <v>14.712896076924139</v>
      </c>
    </row>
    <row r="12" spans="1:27" x14ac:dyDescent="0.25">
      <c r="A12" s="22">
        <v>10</v>
      </c>
      <c r="B12" s="22">
        <v>1</v>
      </c>
      <c r="C12" s="22">
        <v>0</v>
      </c>
      <c r="D12" s="22">
        <v>46.25</v>
      </c>
      <c r="I12">
        <f>(EXP($E$3+$G$3*C12+$H$3*D12)/(1+EXP($E$3+$G$3*C12+$H$3*D12)))</f>
        <v>0.22576821347713119</v>
      </c>
      <c r="J12">
        <f>-(EXP($E$3+$G$3*C12+$H$3*D12)/(1+EXP($E$3+$G$3*C12+$H$3*D12)))+(EXP($F$3+$G$3*C12+$H$3*D12)/(1+EXP($F$3+$G$3*C12+$H$3*D12)))</f>
        <v>0.68213898719491284</v>
      </c>
      <c r="K12">
        <f t="shared" si="0"/>
        <v>9.2092799327955999E-2</v>
      </c>
      <c r="L12">
        <f t="shared" ca="1" si="1"/>
        <v>-0.64633720361227642</v>
      </c>
      <c r="O12">
        <f>MAX(I12:K12)</f>
        <v>0.68213898719491284</v>
      </c>
      <c r="P12">
        <f>MATCH(O12,I12:K12,0)</f>
        <v>2</v>
      </c>
      <c r="Q12">
        <f>IF(B12=P12,1,0)</f>
        <v>0</v>
      </c>
      <c r="S12" t="s">
        <v>33</v>
      </c>
      <c r="T12" s="5">
        <f>1-_xlfn.CHISQ.DIST(T11,2,1)</f>
        <v>6.3846223003005687E-4</v>
      </c>
    </row>
    <row r="13" spans="1:27" x14ac:dyDescent="0.25">
      <c r="A13" s="22">
        <v>11</v>
      </c>
      <c r="B13" s="22">
        <v>2</v>
      </c>
      <c r="C13" s="22">
        <v>1</v>
      </c>
      <c r="D13" s="22">
        <v>43.5</v>
      </c>
      <c r="I13">
        <f>(EXP($E$3+$G$3*C13+$H$3*D13)/(1+EXP($E$3+$G$3*C13+$H$3*D13)))</f>
        <v>0.14587209045935437</v>
      </c>
      <c r="J13">
        <f>-(EXP($E$3+$G$3*C13+$H$3*D13)/(1+EXP($E$3+$G$3*C13+$H$3*D13)))+(EXP($F$3+$G$3*C13+$H$3*D13)/(1+EXP($F$3+$G$3*C13+$H$3*D13)))</f>
        <v>0.70650363045649811</v>
      </c>
      <c r="K13">
        <f t="shared" si="0"/>
        <v>0.14762427908414755</v>
      </c>
      <c r="L13">
        <f t="shared" ca="1" si="1"/>
        <v>-0.15088560213364918</v>
      </c>
      <c r="O13">
        <f>MAX(I13:K13)</f>
        <v>0.70650363045649811</v>
      </c>
      <c r="P13">
        <f>MATCH(O13,I13:K13,0)</f>
        <v>2</v>
      </c>
      <c r="Q13">
        <f>IF(B13=P13,1,0)</f>
        <v>1</v>
      </c>
    </row>
    <row r="14" spans="1:27" x14ac:dyDescent="0.25">
      <c r="A14" s="22">
        <v>12</v>
      </c>
      <c r="B14" s="22">
        <v>2</v>
      </c>
      <c r="C14" s="22">
        <v>0</v>
      </c>
      <c r="D14" s="22">
        <v>46</v>
      </c>
      <c r="I14">
        <f>(EXP($E$3+$G$3*C14+$H$3*D14)/(1+EXP($E$3+$G$3*C14+$H$3*D14)))</f>
        <v>0.22051205921073316</v>
      </c>
      <c r="J14">
        <f>-(EXP($E$3+$G$3*C14+$H$3*D14)/(1+EXP($E$3+$G$3*C14+$H$3*D14)))+(EXP($F$3+$G$3*C14+$H$3*D14)/(1+EXP($F$3+$G$3*C14+$H$3*D14)))</f>
        <v>0.68482828072396296</v>
      </c>
      <c r="K14">
        <f t="shared" si="0"/>
        <v>9.4659660065303908E-2</v>
      </c>
      <c r="L14">
        <f t="shared" ca="1" si="1"/>
        <v>-0.16441831330059467</v>
      </c>
      <c r="O14">
        <f>MAX(I14:K14)</f>
        <v>0.68482828072396296</v>
      </c>
      <c r="P14">
        <f>MATCH(O14,I14:K14,0)</f>
        <v>2</v>
      </c>
      <c r="Q14">
        <f>IF(B14=P14,1,0)</f>
        <v>1</v>
      </c>
      <c r="S14" s="1" t="s">
        <v>36</v>
      </c>
    </row>
    <row r="15" spans="1:27" x14ac:dyDescent="0.25">
      <c r="A15" s="22">
        <v>13</v>
      </c>
      <c r="B15" s="22">
        <v>2</v>
      </c>
      <c r="C15" s="22">
        <v>1</v>
      </c>
      <c r="D15" s="22">
        <v>42.5</v>
      </c>
      <c r="I15">
        <f>(EXP($E$3+$G$3*C15+$H$3*D15)/(1+EXP($E$3+$G$3*C15+$H$3*D15)))</f>
        <v>0.13139956230821695</v>
      </c>
      <c r="J15">
        <f>-(EXP($E$3+$G$3*C15+$H$3*D15)/(1+EXP($E$3+$G$3*C15+$H$3*D15)))+(EXP($F$3+$G$3*C15+$H$3*D15)/(1+EXP($F$3+$G$3*C15+$H$3*D15)))</f>
        <v>0.70505309153615547</v>
      </c>
      <c r="K15">
        <f t="shared" si="0"/>
        <v>0.1635473461556276</v>
      </c>
      <c r="L15">
        <f t="shared" ca="1" si="1"/>
        <v>-0.15177817876315494</v>
      </c>
      <c r="O15">
        <f>MAX(I15:K15)</f>
        <v>0.70505309153615547</v>
      </c>
      <c r="P15">
        <f>MATCH(O15,I15:K15,0)</f>
        <v>2</v>
      </c>
      <c r="Q15">
        <f>IF(B15=P15,1,0)</f>
        <v>1</v>
      </c>
      <c r="S15" t="s">
        <v>35</v>
      </c>
      <c r="T15">
        <v>-59.373580241458782</v>
      </c>
    </row>
    <row r="16" spans="1:27" x14ac:dyDescent="0.25">
      <c r="A16" s="22">
        <v>14</v>
      </c>
      <c r="B16" s="22">
        <v>1</v>
      </c>
      <c r="C16" s="22">
        <v>0</v>
      </c>
      <c r="D16" s="22">
        <v>53</v>
      </c>
      <c r="I16">
        <f>(EXP($E$3+$G$3*C16+$H$3*D16)/(1+EXP($E$3+$G$3*C16+$H$3*D16)))</f>
        <v>0.39803547184688076</v>
      </c>
      <c r="J16">
        <f>-(EXP($E$3+$G$3*C16+$H$3*D16)/(1+EXP($E$3+$G$3*C16+$H$3*D16)))+(EXP($F$3+$G$3*C16+$H$3*D16)/(1+EXP($F$3+$G$3*C16+$H$3*D16)))</f>
        <v>0.55914716219497884</v>
      </c>
      <c r="K16">
        <f t="shared" si="0"/>
        <v>4.2817365958140341E-2</v>
      </c>
      <c r="L16">
        <f t="shared" ca="1" si="1"/>
        <v>-0.40007822304966217</v>
      </c>
      <c r="O16">
        <f>MAX(I16:K16)</f>
        <v>0.55914716219497884</v>
      </c>
      <c r="P16">
        <f>MATCH(O16,I16:K16,0)</f>
        <v>2</v>
      </c>
      <c r="Q16">
        <f>IF(B16=P16,1,0)</f>
        <v>0</v>
      </c>
      <c r="S16" t="s">
        <v>32</v>
      </c>
      <c r="T16">
        <f>2*(T9-T15)</f>
        <v>0.1672522567840673</v>
      </c>
    </row>
    <row r="17" spans="1:20" x14ac:dyDescent="0.25">
      <c r="A17" s="22">
        <v>15</v>
      </c>
      <c r="B17" s="22">
        <v>1</v>
      </c>
      <c r="C17" s="22">
        <v>0</v>
      </c>
      <c r="D17" s="22">
        <v>43.5</v>
      </c>
      <c r="I17">
        <f>(EXP($E$3+$G$3*C17+$H$3*D17)/(1+EXP($E$3+$G$3*C17+$H$3*D17)))</f>
        <v>0.17280038983017906</v>
      </c>
      <c r="J17">
        <f>-(EXP($E$3+$G$3*C17+$H$3*D17)/(1+EXP($E$3+$G$3*C17+$H$3*D17)))+(EXP($F$3+$G$3*C17+$H$3*D17)/(1+EXP($F$3+$G$3*C17+$H$3*D17)))</f>
        <v>0.7031685832398834</v>
      </c>
      <c r="K17">
        <f t="shared" si="0"/>
        <v>0.1240310269299375</v>
      </c>
      <c r="L17">
        <f t="shared" ca="1" si="1"/>
        <v>-0.76245528210651969</v>
      </c>
      <c r="O17">
        <f>MAX(I17:K17)</f>
        <v>0.7031685832398834</v>
      </c>
      <c r="P17">
        <f>MATCH(O17,I17:K17,0)</f>
        <v>2</v>
      </c>
      <c r="Q17">
        <f>IF(B17=P17,1,0)</f>
        <v>0</v>
      </c>
      <c r="S17" t="s">
        <v>33</v>
      </c>
      <c r="T17">
        <f>1-_xlfn.CHISQ.DIST(T16,1,1)</f>
        <v>0.68256544924468665</v>
      </c>
    </row>
    <row r="18" spans="1:20" x14ac:dyDescent="0.25">
      <c r="A18" s="22">
        <v>16</v>
      </c>
      <c r="B18" s="22">
        <v>1</v>
      </c>
      <c r="C18" s="22">
        <v>1</v>
      </c>
      <c r="D18" s="22">
        <v>56</v>
      </c>
      <c r="I18">
        <f>(EXP($E$3+$G$3*C18+$H$3*D18)/(1+EXP($E$3+$G$3*C18+$H$3*D18)))</f>
        <v>0.43752068263321969</v>
      </c>
      <c r="J18">
        <f>-(EXP($E$3+$G$3*C18+$H$3*D18)/(1+EXP($E$3+$G$3*C18+$H$3*D18)))+(EXP($F$3+$G$3*C18+$H$3*D18)/(1+EXP($F$3+$G$3*C18+$H$3*D18)))</f>
        <v>0.52584605228456205</v>
      </c>
      <c r="K18">
        <f t="shared" si="0"/>
        <v>3.6633265082218314E-2</v>
      </c>
      <c r="L18">
        <f t="shared" ca="1" si="1"/>
        <v>-0.35900141203328695</v>
      </c>
      <c r="O18">
        <f>MAX(I18:K18)</f>
        <v>0.52584605228456205</v>
      </c>
      <c r="P18">
        <f>MATCH(O18,I18:K18,0)</f>
        <v>2</v>
      </c>
      <c r="Q18">
        <f>IF(B18=P18,1,0)</f>
        <v>0</v>
      </c>
    </row>
    <row r="19" spans="1:20" x14ac:dyDescent="0.25">
      <c r="A19" s="22">
        <v>17</v>
      </c>
      <c r="B19" s="22">
        <v>2</v>
      </c>
      <c r="C19" s="22">
        <v>1</v>
      </c>
      <c r="D19" s="22">
        <v>40</v>
      </c>
      <c r="I19">
        <f>(EXP($E$3+$G$3*C19+$H$3*D19)/(1+EXP($E$3+$G$3*C19+$H$3*D19)))</f>
        <v>0.1004834391669082</v>
      </c>
      <c r="J19">
        <f>-(EXP($E$3+$G$3*C19+$H$3*D19)/(1+EXP($E$3+$G$3*C19+$H$3*D19)))+(EXP($F$3+$G$3*C19+$H$3*D19)/(1+EXP($F$3+$G$3*C19+$H$3*D19)))</f>
        <v>0.69016580037983855</v>
      </c>
      <c r="K19">
        <f t="shared" si="0"/>
        <v>0.20935076045325329</v>
      </c>
      <c r="L19">
        <f t="shared" ca="1" si="1"/>
        <v>-0.16104656500151476</v>
      </c>
      <c r="O19">
        <f>MAX(I19:K19)</f>
        <v>0.69016580037983855</v>
      </c>
      <c r="P19">
        <f>MATCH(O19,I19:K19,0)</f>
        <v>2</v>
      </c>
      <c r="Q19">
        <f>IF(B19=P19,1,0)</f>
        <v>1</v>
      </c>
      <c r="S19" s="1" t="s">
        <v>37</v>
      </c>
    </row>
    <row r="20" spans="1:20" x14ac:dyDescent="0.25">
      <c r="A20" s="22">
        <v>18</v>
      </c>
      <c r="B20" s="22">
        <v>1</v>
      </c>
      <c r="C20" s="22">
        <v>0</v>
      </c>
      <c r="D20" s="22">
        <v>48</v>
      </c>
      <c r="I20">
        <f>(EXP($E$3+$G$3*C20+$H$3*D20)/(1+EXP($E$3+$G$3*C20+$H$3*D20)))</f>
        <v>0.26500683816134396</v>
      </c>
      <c r="J20">
        <f>-(EXP($E$3+$G$3*C20+$H$3*D20)/(1+EXP($E$3+$G$3*C20+$H$3*D20)))+(EXP($F$3+$G$3*C20+$H$3*D20)/(1+EXP($F$3+$G$3*C20+$H$3*D20)))</f>
        <v>0.65917719272147191</v>
      </c>
      <c r="K20">
        <f t="shared" si="0"/>
        <v>7.5815969117184134E-2</v>
      </c>
      <c r="L20">
        <f t="shared" ca="1" si="1"/>
        <v>-0.57674291950688239</v>
      </c>
      <c r="O20">
        <f>MAX(I20:K20)</f>
        <v>0.65917719272147191</v>
      </c>
      <c r="P20">
        <f>MATCH(O20,I20:K20,0)</f>
        <v>2</v>
      </c>
      <c r="Q20">
        <f>IF(B20=P20,1,0)</f>
        <v>0</v>
      </c>
      <c r="S20" t="s">
        <v>38</v>
      </c>
      <c r="T20">
        <v>-66.640223737349672</v>
      </c>
    </row>
    <row r="21" spans="1:20" x14ac:dyDescent="0.25">
      <c r="A21" s="22">
        <v>19</v>
      </c>
      <c r="B21" s="22">
        <v>2</v>
      </c>
      <c r="C21" s="22">
        <v>1</v>
      </c>
      <c r="D21" s="22">
        <v>46.5</v>
      </c>
      <c r="I21">
        <f>(EXP($E$3+$G$3*C21+$H$3*D21)/(1+EXP($E$3+$G$3*C21+$H$3*D21)))</f>
        <v>0.19726416597675983</v>
      </c>
      <c r="J21">
        <f>-(EXP($E$3+$G$3*C21+$H$3*D21)/(1+EXP($E$3+$G$3*C21+$H$3*D21)))+(EXP($F$3+$G$3*C21+$H$3*D21)/(1+EXP($F$3+$G$3*C21+$H$3*D21)))</f>
        <v>0.69530204246010152</v>
      </c>
      <c r="K21">
        <f t="shared" si="0"/>
        <v>0.1074337915631387</v>
      </c>
      <c r="L21">
        <f t="shared" ca="1" si="1"/>
        <v>-0.15782649486600406</v>
      </c>
      <c r="O21">
        <f>MAX(I21:K21)</f>
        <v>0.69530204246010152</v>
      </c>
      <c r="P21">
        <f>MATCH(O21,I21:K21,0)</f>
        <v>2</v>
      </c>
      <c r="Q21">
        <f>IF(B21=P21,1,0)</f>
        <v>1</v>
      </c>
      <c r="S21" t="s">
        <v>32</v>
      </c>
      <c r="T21">
        <f>2*(T9-T20)</f>
        <v>14.700539248565846</v>
      </c>
    </row>
    <row r="22" spans="1:20" x14ac:dyDescent="0.25">
      <c r="A22" s="22">
        <v>20</v>
      </c>
      <c r="B22" s="22">
        <v>2</v>
      </c>
      <c r="C22" s="22">
        <v>0</v>
      </c>
      <c r="D22" s="22">
        <v>72</v>
      </c>
      <c r="I22">
        <f>(EXP($E$3+$G$3*C22+$H$3*D22)/(1+EXP($E$3+$G$3*C22+$H$3*D22)))</f>
        <v>0.86885192202478678</v>
      </c>
      <c r="J22">
        <f>-(EXP($E$3+$G$3*C22+$H$3*D22)/(1+EXP($E$3+$G$3*C22+$H$3*D22)))+(EXP($F$3+$G$3*C22+$H$3*D22)/(1+EXP($F$3+$G$3*C22+$H$3*D22)))</f>
        <v>0.12670322399589029</v>
      </c>
      <c r="K22">
        <f t="shared" si="0"/>
        <v>4.4448539793229269E-3</v>
      </c>
      <c r="L22">
        <f t="shared" ca="1" si="1"/>
        <v>-0.89721233424196578</v>
      </c>
      <c r="O22">
        <f>MAX(I22:K22)</f>
        <v>0.86885192202478678</v>
      </c>
      <c r="P22">
        <f>MATCH(O22,I22:K22,0)</f>
        <v>1</v>
      </c>
      <c r="Q22">
        <f>IF(B22=P22,1,0)</f>
        <v>0</v>
      </c>
      <c r="S22" t="s">
        <v>33</v>
      </c>
      <c r="T22">
        <f>1-_xlfn.CHISQ.DIST(T21,1,1)</f>
        <v>1.2601039944371006E-4</v>
      </c>
    </row>
    <row r="23" spans="1:20" x14ac:dyDescent="0.25">
      <c r="A23" s="22">
        <v>21</v>
      </c>
      <c r="B23" s="22">
        <v>2</v>
      </c>
      <c r="C23" s="22">
        <v>0</v>
      </c>
      <c r="D23" s="22">
        <v>31</v>
      </c>
      <c r="I23">
        <f>(EXP($E$3+$G$3*C23+$H$3*D23)/(1+EXP($E$3+$G$3*C23+$H$3*D23)))</f>
        <v>4.3854643080559176E-2</v>
      </c>
      <c r="J23">
        <f>-(EXP($E$3+$G$3*C23+$H$3*D23)/(1+EXP($E$3+$G$3*C23+$H$3*D23)))+(EXP($F$3+$G$3*C23+$H$3*D23)/(1+EXP($F$3+$G$3*C23+$H$3*D23)))</f>
        <v>0.56408945336695815</v>
      </c>
      <c r="K23">
        <f t="shared" si="0"/>
        <v>0.39205590355248265</v>
      </c>
      <c r="L23">
        <f t="shared" ca="1" si="1"/>
        <v>-0.24865202008909174</v>
      </c>
      <c r="O23">
        <f>MAX(I23:K23)</f>
        <v>0.56408945336695815</v>
      </c>
      <c r="P23">
        <f>MATCH(O23,I23:K23,0)</f>
        <v>2</v>
      </c>
      <c r="Q23">
        <f>IF(B23=P23,1,0)</f>
        <v>1</v>
      </c>
    </row>
    <row r="24" spans="1:20" x14ac:dyDescent="0.25">
      <c r="A24" s="22">
        <v>22</v>
      </c>
      <c r="B24" s="22">
        <v>1</v>
      </c>
      <c r="C24" s="22">
        <v>1</v>
      </c>
      <c r="D24" s="22">
        <v>48</v>
      </c>
      <c r="I24">
        <f>(EXP($E$3+$G$3*C24+$H$3*D24)/(1+EXP($E$3+$G$3*C24+$H$3*D24)))</f>
        <v>0.22766424102519978</v>
      </c>
      <c r="J24">
        <f>-(EXP($E$3+$G$3*C24+$H$3*D24)/(1+EXP($E$3+$G$3*C24+$H$3*D24)))+(EXP($F$3+$G$3*C24+$H$3*D24)/(1+EXP($F$3+$G$3*C24+$H$3*D24)))</f>
        <v>0.68114323713393476</v>
      </c>
      <c r="K24">
        <f t="shared" si="0"/>
        <v>9.1192521840865459E-2</v>
      </c>
      <c r="L24">
        <f t="shared" ca="1" si="1"/>
        <v>-0.64270517819032347</v>
      </c>
      <c r="O24">
        <f>MAX(I24:K24)</f>
        <v>0.68114323713393476</v>
      </c>
      <c r="P24">
        <f>MATCH(O24,I24:K24,0)</f>
        <v>2</v>
      </c>
      <c r="Q24">
        <f>IF(B24=P24,1,0)</f>
        <v>0</v>
      </c>
    </row>
    <row r="25" spans="1:20" x14ac:dyDescent="0.25">
      <c r="A25" s="22">
        <v>23</v>
      </c>
      <c r="B25" s="22">
        <v>2</v>
      </c>
      <c r="C25" s="22">
        <v>0</v>
      </c>
      <c r="D25" s="22">
        <v>36.5</v>
      </c>
      <c r="I25">
        <f>(EXP($E$3+$G$3*C25+$H$3*D25)/(1+EXP($E$3+$G$3*C25+$H$3*D25)))</f>
        <v>8.2040792466598261E-2</v>
      </c>
      <c r="J25">
        <f>-(EXP($E$3+$G$3*C25+$H$3*D25)/(1+EXP($E$3+$G$3*C25+$H$3*D25)))+(EXP($F$3+$G$3*C25+$H$3*D25)/(1+EXP($F$3+$G$3*C25+$H$3*D25)))</f>
        <v>0.66929915184217592</v>
      </c>
      <c r="K25">
        <f t="shared" si="0"/>
        <v>0.24866005569122585</v>
      </c>
      <c r="L25">
        <f t="shared" ca="1" si="1"/>
        <v>-0.17437972534835428</v>
      </c>
      <c r="O25">
        <f>MAX(I25:K25)</f>
        <v>0.66929915184217592</v>
      </c>
      <c r="P25">
        <f>MATCH(O25,I25:K25,0)</f>
        <v>2</v>
      </c>
      <c r="Q25">
        <f>IF(B25=P25,1,0)</f>
        <v>1</v>
      </c>
    </row>
    <row r="26" spans="1:20" x14ac:dyDescent="0.25">
      <c r="A26" s="22">
        <v>24</v>
      </c>
      <c r="B26" s="22">
        <v>2</v>
      </c>
      <c r="C26" s="22">
        <v>0</v>
      </c>
      <c r="D26" s="22">
        <v>43.75</v>
      </c>
      <c r="I26">
        <f>(EXP($E$3+$G$3*C26+$H$3*D26)/(1+EXP($E$3+$G$3*C26+$H$3*D26)))</f>
        <v>0.17717778232069611</v>
      </c>
      <c r="J26">
        <f>-(EXP($E$3+$G$3*C26+$H$3*D26)/(1+EXP($E$3+$G$3*C26+$H$3*D26)))+(EXP($F$3+$G$3*C26+$H$3*D26)/(1+EXP($F$3+$G$3*C26+$H$3*D26)))</f>
        <v>0.70204825846642738</v>
      </c>
      <c r="K26">
        <f t="shared" si="0"/>
        <v>0.12077395921287648</v>
      </c>
      <c r="L26">
        <f t="shared" ca="1" si="1"/>
        <v>-0.15363303364608755</v>
      </c>
      <c r="O26">
        <f>MAX(I26:K26)</f>
        <v>0.70204825846642738</v>
      </c>
      <c r="P26">
        <f>MATCH(O26,I26:K26,0)</f>
        <v>2</v>
      </c>
      <c r="Q26">
        <f>IF(B26=P26,1,0)</f>
        <v>1</v>
      </c>
    </row>
    <row r="27" spans="1:20" x14ac:dyDescent="0.25">
      <c r="A27" s="22">
        <v>25</v>
      </c>
      <c r="B27" s="22">
        <v>2</v>
      </c>
      <c r="C27" s="22">
        <v>1</v>
      </c>
      <c r="D27" s="22">
        <v>34.25</v>
      </c>
      <c r="I27">
        <f>(EXP($E$3+$G$3*C27+$H$3*D27)/(1+EXP($E$3+$G$3*C27+$H$3*D27)))</f>
        <v>5.2686045595133332E-2</v>
      </c>
      <c r="J27">
        <f>-(EXP($E$3+$G$3*C27+$H$3*D27)/(1+EXP($E$3+$G$3*C27+$H$3*D27)))+(EXP($F$3+$G$3*C27+$H$3*D27)/(1+EXP($F$3+$G$3*C27+$H$3*D27)))</f>
        <v>0.60012711978325195</v>
      </c>
      <c r="K27">
        <f t="shared" si="0"/>
        <v>0.3471868346216147</v>
      </c>
      <c r="L27">
        <f t="shared" ca="1" si="1"/>
        <v>-0.22175674699479492</v>
      </c>
      <c r="O27">
        <f>MAX(I27:K27)</f>
        <v>0.60012711978325195</v>
      </c>
      <c r="P27">
        <f>MATCH(O27,I27:K27,0)</f>
        <v>2</v>
      </c>
      <c r="Q27">
        <f>IF(B27=P27,1,0)</f>
        <v>1</v>
      </c>
    </row>
    <row r="28" spans="1:20" x14ac:dyDescent="0.25">
      <c r="A28" s="22">
        <v>26</v>
      </c>
      <c r="B28" s="22">
        <v>2</v>
      </c>
      <c r="C28" s="22">
        <v>1</v>
      </c>
      <c r="D28" s="22">
        <v>41.25</v>
      </c>
      <c r="I28">
        <f>(EXP($E$3+$G$3*C28+$H$3*D28)/(1+EXP($E$3+$G$3*C28+$H$3*D28)))</f>
        <v>0.11504102420774701</v>
      </c>
      <c r="J28">
        <f>-(EXP($E$3+$G$3*C28+$H$3*D28)/(1+EXP($E$3+$G$3*C28+$H$3*D28)))+(EXP($F$3+$G$3*C28+$H$3*D28)/(1+EXP($F$3+$G$3*C28+$H$3*D28)))</f>
        <v>0.69960032430459884</v>
      </c>
      <c r="K28">
        <f t="shared" si="0"/>
        <v>0.18535865148765418</v>
      </c>
      <c r="L28">
        <f t="shared" ca="1" si="1"/>
        <v>-0.15514999787308509</v>
      </c>
      <c r="O28">
        <f>MAX(I28:K28)</f>
        <v>0.69960032430459884</v>
      </c>
      <c r="P28">
        <f>MATCH(O28,I28:K28,0)</f>
        <v>2</v>
      </c>
      <c r="Q28">
        <f>IF(B28=P28,1,0)</f>
        <v>1</v>
      </c>
    </row>
    <row r="29" spans="1:20" x14ac:dyDescent="0.25">
      <c r="A29" s="22">
        <v>27</v>
      </c>
      <c r="B29" s="22">
        <v>2</v>
      </c>
      <c r="C29" s="22">
        <v>0</v>
      </c>
      <c r="D29" s="22">
        <v>41.75</v>
      </c>
      <c r="I29">
        <f>(EXP($E$3+$G$3*C29+$H$3*D29)/(1+EXP($E$3+$G$3*C29+$H$3*D29)))</f>
        <v>0.14452977086153324</v>
      </c>
      <c r="J29">
        <f>-(EXP($E$3+$G$3*C29+$H$3*D29)/(1+EXP($E$3+$G$3*C29+$H$3*D29)))+(EXP($F$3+$G$3*C29+$H$3*D29)/(1+EXP($F$3+$G$3*C29+$H$3*D29)))</f>
        <v>0.70647989567898861</v>
      </c>
      <c r="K29">
        <f t="shared" si="0"/>
        <v>0.14899033345947821</v>
      </c>
      <c r="L29">
        <f t="shared" ca="1" si="1"/>
        <v>-0.15090019237155625</v>
      </c>
      <c r="O29">
        <f>MAX(I29:K29)</f>
        <v>0.70647989567898861</v>
      </c>
      <c r="P29">
        <f>MATCH(O29,I29:K29,0)</f>
        <v>2</v>
      </c>
      <c r="Q29">
        <f>IF(B29=P29,1,0)</f>
        <v>1</v>
      </c>
    </row>
    <row r="30" spans="1:20" x14ac:dyDescent="0.25">
      <c r="A30" s="22">
        <v>28</v>
      </c>
      <c r="B30" s="22">
        <v>2</v>
      </c>
      <c r="C30" s="22">
        <v>0</v>
      </c>
      <c r="D30" s="22">
        <v>45.25</v>
      </c>
      <c r="I30">
        <f>(EXP($E$3+$G$3*C30+$H$3*D30)/(1+EXP($E$3+$G$3*C30+$H$3*D30)))</f>
        <v>0.20527394601331644</v>
      </c>
      <c r="J30">
        <f>-(EXP($E$3+$G$3*C30+$H$3*D30)/(1+EXP($E$3+$G$3*C30+$H$3*D30)))+(EXP($F$3+$G$3*C30+$H$3*D30)/(1+EXP($F$3+$G$3*C30+$H$3*D30)))</f>
        <v>0.69197790735754516</v>
      </c>
      <c r="K30">
        <f t="shared" si="0"/>
        <v>0.10274814662913845</v>
      </c>
      <c r="L30">
        <f t="shared" ca="1" si="1"/>
        <v>-0.15990777095635117</v>
      </c>
      <c r="O30">
        <f>MAX(I30:K30)</f>
        <v>0.69197790735754516</v>
      </c>
      <c r="P30">
        <f>MATCH(O30,I30:K30,0)</f>
        <v>2</v>
      </c>
      <c r="Q30">
        <f>IF(B30=P30,1,0)</f>
        <v>1</v>
      </c>
    </row>
    <row r="31" spans="1:20" x14ac:dyDescent="0.25">
      <c r="A31" s="22">
        <v>29</v>
      </c>
      <c r="B31" s="22">
        <v>2</v>
      </c>
      <c r="C31" s="22">
        <v>1</v>
      </c>
      <c r="D31" s="22">
        <v>43.5</v>
      </c>
      <c r="I31">
        <f>(EXP($E$3+$G$3*C31+$H$3*D31)/(1+EXP($E$3+$G$3*C31+$H$3*D31)))</f>
        <v>0.14587209045935437</v>
      </c>
      <c r="J31">
        <f>-(EXP($E$3+$G$3*C31+$H$3*D31)/(1+EXP($E$3+$G$3*C31+$H$3*D31)))+(EXP($F$3+$G$3*C31+$H$3*D31)/(1+EXP($F$3+$G$3*C31+$H$3*D31)))</f>
        <v>0.70650363045649811</v>
      </c>
      <c r="K31">
        <f t="shared" si="0"/>
        <v>0.14762427908414755</v>
      </c>
      <c r="L31">
        <f t="shared" ca="1" si="1"/>
        <v>-0.15088560213364918</v>
      </c>
      <c r="O31">
        <f>MAX(I31:K31)</f>
        <v>0.70650363045649811</v>
      </c>
      <c r="P31">
        <f>MATCH(O31,I31:K31,0)</f>
        <v>2</v>
      </c>
      <c r="Q31">
        <f>IF(B31=P31,1,0)</f>
        <v>1</v>
      </c>
    </row>
    <row r="32" spans="1:20" x14ac:dyDescent="0.25">
      <c r="A32" s="22">
        <v>30</v>
      </c>
      <c r="B32" s="22">
        <v>2</v>
      </c>
      <c r="C32" s="22">
        <v>0</v>
      </c>
      <c r="D32" s="22">
        <v>53</v>
      </c>
      <c r="I32">
        <f>(EXP($E$3+$G$3*C32+$H$3*D32)/(1+EXP($E$3+$G$3*C32+$H$3*D32)))</f>
        <v>0.39803547184688076</v>
      </c>
      <c r="J32">
        <f>-(EXP($E$3+$G$3*C32+$H$3*D32)/(1+EXP($E$3+$G$3*C32+$H$3*D32)))+(EXP($F$3+$G$3*C32+$H$3*D32)/(1+EXP($F$3+$G$3*C32+$H$3*D32)))</f>
        <v>0.55914716219497884</v>
      </c>
      <c r="K32">
        <f t="shared" si="0"/>
        <v>4.2817365958140341E-2</v>
      </c>
      <c r="L32">
        <f t="shared" ca="1" si="1"/>
        <v>-0.25247387490783851</v>
      </c>
      <c r="O32">
        <f>MAX(I32:K32)</f>
        <v>0.55914716219497884</v>
      </c>
      <c r="P32">
        <f>MATCH(O32,I32:K32,0)</f>
        <v>2</v>
      </c>
      <c r="Q32">
        <f>IF(B32=P32,1,0)</f>
        <v>1</v>
      </c>
    </row>
    <row r="33" spans="1:17" x14ac:dyDescent="0.25">
      <c r="A33" s="22">
        <v>31</v>
      </c>
      <c r="B33" s="22">
        <v>3</v>
      </c>
      <c r="C33" s="22">
        <v>1</v>
      </c>
      <c r="D33" s="22">
        <v>38</v>
      </c>
      <c r="I33">
        <f>(EXP($E$3+$G$3*C33+$H$3*D33)/(1+EXP($E$3+$G$3*C33+$H$3*D33)))</f>
        <v>8.0583612037699634E-2</v>
      </c>
      <c r="J33">
        <f>-(EXP($E$3+$G$3*C33+$H$3*D33)/(1+EXP($E$3+$G$3*C33+$H$3*D33)))+(EXP($F$3+$G$3*C33+$H$3*D33)/(1+EXP($F$3+$G$3*C33+$H$3*D33)))</f>
        <v>0.667093950684717</v>
      </c>
      <c r="K33">
        <f t="shared" si="0"/>
        <v>0.25232243727758341</v>
      </c>
      <c r="L33">
        <f t="shared" ca="1" si="1"/>
        <v>-0.59804412898071957</v>
      </c>
      <c r="O33">
        <f>MAX(I33:K33)</f>
        <v>0.667093950684717</v>
      </c>
      <c r="P33">
        <f>MATCH(O33,I33:K33,0)</f>
        <v>2</v>
      </c>
      <c r="Q33">
        <f>IF(B33=P33,1,0)</f>
        <v>0</v>
      </c>
    </row>
    <row r="34" spans="1:17" x14ac:dyDescent="0.25">
      <c r="A34" s="22">
        <v>32</v>
      </c>
      <c r="B34" s="22">
        <v>2</v>
      </c>
      <c r="C34" s="22">
        <v>0</v>
      </c>
      <c r="D34" s="22">
        <v>59</v>
      </c>
      <c r="I34">
        <f>(EXP($E$3+$G$3*C34+$H$3*D34)/(1+EXP($E$3+$G$3*C34+$H$3*D34)))</f>
        <v>0.57788092979477057</v>
      </c>
      <c r="J34">
        <f>-(EXP($E$3+$G$3*C34+$H$3*D34)/(1+EXP($E$3+$G$3*C34+$H$3*D34)))+(EXP($F$3+$G$3*C34+$H$3*D34)/(1+EXP($F$3+$G$3*C34+$H$3*D34)))</f>
        <v>0.40097010003332401</v>
      </c>
      <c r="K34">
        <f t="shared" si="0"/>
        <v>2.1148970171905423E-2</v>
      </c>
      <c r="L34">
        <f t="shared" ca="1" si="1"/>
        <v>-0.39688801110719596</v>
      </c>
      <c r="O34">
        <f>MAX(I34:K34)</f>
        <v>0.57788092979477057</v>
      </c>
      <c r="P34">
        <f>MATCH(O34,I34:K34,0)</f>
        <v>1</v>
      </c>
      <c r="Q34">
        <f>IF(B34=P34,1,0)</f>
        <v>0</v>
      </c>
    </row>
    <row r="35" spans="1:17" x14ac:dyDescent="0.25">
      <c r="A35" s="22">
        <v>33</v>
      </c>
      <c r="B35" s="22">
        <v>2</v>
      </c>
      <c r="C35" s="22">
        <v>1</v>
      </c>
      <c r="D35" s="22">
        <v>52.5</v>
      </c>
      <c r="I35">
        <f>(EXP($E$3+$G$3*C35+$H$3*D35)/(1+EXP($E$3+$G$3*C35+$H$3*D35)))</f>
        <v>0.33721183514832914</v>
      </c>
      <c r="J35">
        <f>-(EXP($E$3+$G$3*C35+$H$3*D35)/(1+EXP($E$3+$G$3*C35+$H$3*D35)))+(EXP($F$3+$G$3*C35+$H$3*D35)/(1+EXP($F$3+$G$3*C35+$H$3*D35)))</f>
        <v>0.60784593207409121</v>
      </c>
      <c r="K35">
        <f t="shared" si="0"/>
        <v>5.4942232777579703E-2</v>
      </c>
      <c r="L35">
        <f t="shared" ca="1" si="1"/>
        <v>-0.21620648541334656</v>
      </c>
      <c r="O35">
        <f>MAX(I35:K35)</f>
        <v>0.60784593207409121</v>
      </c>
      <c r="P35">
        <f>MATCH(O35,I35:K35,0)</f>
        <v>2</v>
      </c>
      <c r="Q35">
        <f>IF(B35=P35,1,0)</f>
        <v>1</v>
      </c>
    </row>
    <row r="36" spans="1:17" x14ac:dyDescent="0.25">
      <c r="A36" s="22">
        <v>34</v>
      </c>
      <c r="B36" s="22">
        <v>2</v>
      </c>
      <c r="C36" s="22">
        <v>0</v>
      </c>
      <c r="D36" s="22">
        <v>42.75</v>
      </c>
      <c r="I36">
        <f>(EXP($E$3+$G$3*C36+$H$3*D36)/(1+EXP($E$3+$G$3*C36+$H$3*D36)))</f>
        <v>0.16018178301192257</v>
      </c>
      <c r="J36">
        <f>-(EXP($E$3+$G$3*C36+$H$3*D36)/(1+EXP($E$3+$G$3*C36+$H$3*D36)))+(EXP($F$3+$G$3*C36+$H$3*D36)/(1+EXP($F$3+$G$3*C36+$H$3*D36)))</f>
        <v>0.70556115538086339</v>
      </c>
      <c r="K36">
        <f t="shared" si="0"/>
        <v>0.13425706160721407</v>
      </c>
      <c r="L36">
        <f t="shared" ca="1" si="1"/>
        <v>-0.15146533726983444</v>
      </c>
      <c r="O36">
        <f>MAX(I36:K36)</f>
        <v>0.70556115538086339</v>
      </c>
      <c r="P36">
        <f>MATCH(O36,I36:K36,0)</f>
        <v>2</v>
      </c>
      <c r="Q36">
        <f>IF(B36=P36,1,0)</f>
        <v>1</v>
      </c>
    </row>
    <row r="37" spans="1:17" x14ac:dyDescent="0.25">
      <c r="A37" s="22">
        <v>35</v>
      </c>
      <c r="B37" s="22">
        <v>2</v>
      </c>
      <c r="C37" s="22">
        <v>0</v>
      </c>
      <c r="D37" s="22">
        <v>31.5</v>
      </c>
      <c r="I37">
        <f>(EXP($E$3+$G$3*C37+$H$3*D37)/(1+EXP($E$3+$G$3*C37+$H$3*D37)))</f>
        <v>4.6469087739886429E-2</v>
      </c>
      <c r="J37">
        <f>-(EXP($E$3+$G$3*C37+$H$3*D37)/(1+EXP($E$3+$G$3*C37+$H$3*D37)))+(EXP($F$3+$G$3*C37+$H$3*D37)/(1+EXP($F$3+$G$3*C37+$H$3*D37)))</f>
        <v>0.57583120505441232</v>
      </c>
      <c r="K37">
        <f t="shared" si="0"/>
        <v>0.37769970720570123</v>
      </c>
      <c r="L37">
        <f t="shared" ca="1" si="1"/>
        <v>-0.23970480382798409</v>
      </c>
      <c r="O37">
        <f>MAX(I37:K37)</f>
        <v>0.57583120505441232</v>
      </c>
      <c r="P37">
        <f>MATCH(O37,I37:K37,0)</f>
        <v>2</v>
      </c>
      <c r="Q37">
        <f>IF(B37=P37,1,0)</f>
        <v>1</v>
      </c>
    </row>
    <row r="38" spans="1:17" x14ac:dyDescent="0.25">
      <c r="A38" s="22">
        <v>36</v>
      </c>
      <c r="B38" s="22">
        <v>2</v>
      </c>
      <c r="C38" s="22">
        <v>0</v>
      </c>
      <c r="D38" s="22">
        <v>43.5</v>
      </c>
      <c r="I38">
        <f>(EXP($E$3+$G$3*C38+$H$3*D38)/(1+EXP($E$3+$G$3*C38+$H$3*D38)))</f>
        <v>0.17280038983017906</v>
      </c>
      <c r="J38">
        <f>-(EXP($E$3+$G$3*C38+$H$3*D38)/(1+EXP($E$3+$G$3*C38+$H$3*D38)))+(EXP($F$3+$G$3*C38+$H$3*D38)/(1+EXP($F$3+$G$3*C38+$H$3*D38)))</f>
        <v>0.7031685832398834</v>
      </c>
      <c r="K38">
        <f t="shared" si="0"/>
        <v>0.1240310269299375</v>
      </c>
      <c r="L38">
        <f t="shared" ca="1" si="1"/>
        <v>-0.15294054127665549</v>
      </c>
      <c r="O38">
        <f>MAX(I38:K38)</f>
        <v>0.7031685832398834</v>
      </c>
      <c r="P38">
        <f>MATCH(O38,I38:K38,0)</f>
        <v>2</v>
      </c>
      <c r="Q38">
        <f>IF(B38=P38,1,0)</f>
        <v>1</v>
      </c>
    </row>
    <row r="39" spans="1:17" x14ac:dyDescent="0.25">
      <c r="A39" s="22">
        <v>37</v>
      </c>
      <c r="B39" s="22">
        <v>2</v>
      </c>
      <c r="C39" s="22">
        <v>0</v>
      </c>
      <c r="D39" s="22">
        <v>40</v>
      </c>
      <c r="I39">
        <f>(EXP($E$3+$G$3*C39+$H$3*D39)/(1+EXP($E$3+$G$3*C39+$H$3*D39)))</f>
        <v>0.12021215633483136</v>
      </c>
      <c r="J39">
        <f>-(EXP($E$3+$G$3*C39+$H$3*D39)/(1+EXP($E$3+$G$3*C39+$H$3*D39)))+(EXP($F$3+$G$3*C39+$H$3*D39)/(1+EXP($F$3+$G$3*C39+$H$3*D39)))</f>
        <v>0.7018358821627958</v>
      </c>
      <c r="K39">
        <f t="shared" si="0"/>
        <v>0.1779519615023728</v>
      </c>
      <c r="L39">
        <f t="shared" ca="1" si="1"/>
        <v>-0.15376443175051582</v>
      </c>
      <c r="O39">
        <f>MAX(I39:K39)</f>
        <v>0.7018358821627958</v>
      </c>
      <c r="P39">
        <f>MATCH(O39,I39:K39,0)</f>
        <v>2</v>
      </c>
      <c r="Q39">
        <f>IF(B39=P39,1,0)</f>
        <v>1</v>
      </c>
    </row>
    <row r="40" spans="1:17" x14ac:dyDescent="0.25">
      <c r="A40" s="22">
        <v>38</v>
      </c>
      <c r="B40" s="22">
        <v>2</v>
      </c>
      <c r="C40" s="22">
        <v>1</v>
      </c>
      <c r="D40" s="22">
        <v>40.5</v>
      </c>
      <c r="I40">
        <f>(EXP($E$3+$G$3*C40+$H$3*D40)/(1+EXP($E$3+$G$3*C40+$H$3*D40)))</f>
        <v>0.10609925537197673</v>
      </c>
      <c r="J40">
        <f>-(EXP($E$3+$G$3*C40+$H$3*D40)/(1+EXP($E$3+$G$3*C40+$H$3*D40)))+(EXP($F$3+$G$3*C40+$H$3*D40)/(1+EXP($F$3+$G$3*C40+$H$3*D40)))</f>
        <v>0.69441125686844829</v>
      </c>
      <c r="K40">
        <f t="shared" si="0"/>
        <v>0.19948948775957498</v>
      </c>
      <c r="L40">
        <f t="shared" ca="1" si="1"/>
        <v>-0.15838324757202379</v>
      </c>
      <c r="O40">
        <f>MAX(I40:K40)</f>
        <v>0.69441125686844829</v>
      </c>
      <c r="P40">
        <f>MATCH(O40,I40:K40,0)</f>
        <v>2</v>
      </c>
      <c r="Q40">
        <f>IF(B40=P40,1,0)</f>
        <v>1</v>
      </c>
    </row>
    <row r="41" spans="1:17" x14ac:dyDescent="0.25">
      <c r="A41" s="22">
        <v>39</v>
      </c>
      <c r="B41" s="22">
        <v>2</v>
      </c>
      <c r="C41" s="22">
        <v>0</v>
      </c>
      <c r="D41" s="22">
        <v>60</v>
      </c>
      <c r="I41">
        <f>(EXP($E$3+$G$3*C41+$H$3*D41)/(1+EXP($E$3+$G$3*C41+$H$3*D41)))</f>
        <v>0.6071552543203772</v>
      </c>
      <c r="J41">
        <f>-(EXP($E$3+$G$3*C41+$H$3*D41)/(1+EXP($E$3+$G$3*C41+$H$3*D41)))+(EXP($F$3+$G$3*C41+$H$3*D41)/(1+EXP($F$3+$G$3*C41+$H$3*D41)))</f>
        <v>0.37406610308670529</v>
      </c>
      <c r="K41">
        <f t="shared" si="0"/>
        <v>1.8778642592917505E-2</v>
      </c>
      <c r="L41">
        <f t="shared" ca="1" si="1"/>
        <v>-0.42705164467369539</v>
      </c>
      <c r="O41">
        <f>MAX(I41:K41)</f>
        <v>0.6071552543203772</v>
      </c>
      <c r="P41">
        <f>MATCH(O41,I41:K41,0)</f>
        <v>1</v>
      </c>
      <c r="Q41">
        <f>IF(B41=P41,1,0)</f>
        <v>0</v>
      </c>
    </row>
    <row r="42" spans="1:17" x14ac:dyDescent="0.25">
      <c r="A42" s="22">
        <v>40</v>
      </c>
      <c r="B42" s="22">
        <v>3</v>
      </c>
      <c r="C42" s="22">
        <v>1</v>
      </c>
      <c r="D42" s="22">
        <v>57.5</v>
      </c>
      <c r="I42">
        <f>(EXP($E$3+$G$3*C42+$H$3*D42)/(1+EXP($E$3+$G$3*C42+$H$3*D42)))</f>
        <v>0.48268294568283504</v>
      </c>
      <c r="J42">
        <f>-(EXP($E$3+$G$3*C42+$H$3*D42)/(1+EXP($E$3+$G$3*C42+$H$3*D42)))+(EXP($F$3+$G$3*C42+$H$3*D42)/(1+EXP($F$3+$G$3*C42+$H$3*D42)))</f>
        <v>0.48659027314911779</v>
      </c>
      <c r="K42">
        <f t="shared" si="0"/>
        <v>3.0726781168047224E-2</v>
      </c>
      <c r="L42">
        <f t="shared" ca="1" si="1"/>
        <v>-1.5124829325575952</v>
      </c>
      <c r="O42">
        <f>MAX(I42:K42)</f>
        <v>0.48659027314911779</v>
      </c>
      <c r="P42">
        <f>MATCH(O42,I42:K42,0)</f>
        <v>2</v>
      </c>
      <c r="Q42">
        <f>IF(B42=P42,1,0)</f>
        <v>0</v>
      </c>
    </row>
    <row r="43" spans="1:17" x14ac:dyDescent="0.25">
      <c r="A43" s="22">
        <v>41</v>
      </c>
      <c r="B43" s="22">
        <v>2</v>
      </c>
      <c r="C43" s="22">
        <v>1</v>
      </c>
      <c r="D43" s="22">
        <v>48.75</v>
      </c>
      <c r="I43">
        <f>(EXP($E$3+$G$3*C43+$H$3*D43)/(1+EXP($E$3+$G$3*C43+$H$3*D43)))</f>
        <v>0.24405403664258848</v>
      </c>
      <c r="J43">
        <f>-(EXP($E$3+$G$3*C43+$H$3*D43)/(1+EXP($E$3+$G$3*C43+$H$3*D43)))+(EXP($F$3+$G$3*C43+$H$3*D43)/(1+EXP($F$3+$G$3*C43+$H$3*D43)))</f>
        <v>0.67201734291458415</v>
      </c>
      <c r="K43">
        <f t="shared" si="0"/>
        <v>8.392862044282734E-2</v>
      </c>
      <c r="L43">
        <f t="shared" ca="1" si="1"/>
        <v>-0.17261951885850516</v>
      </c>
      <c r="O43">
        <f>MAX(I43:K43)</f>
        <v>0.67201734291458415</v>
      </c>
      <c r="P43">
        <f>MATCH(O43,I43:K43,0)</f>
        <v>2</v>
      </c>
      <c r="Q43">
        <f>IF(B43=P43,1,0)</f>
        <v>1</v>
      </c>
    </row>
    <row r="44" spans="1:17" x14ac:dyDescent="0.25">
      <c r="A44" s="22">
        <v>42</v>
      </c>
      <c r="B44" s="22">
        <v>2</v>
      </c>
      <c r="C44" s="22">
        <v>1</v>
      </c>
      <c r="D44" s="22">
        <v>44.5</v>
      </c>
      <c r="I44">
        <f>(EXP($E$3+$G$3*C44+$H$3*D44)/(1+EXP($E$3+$G$3*C44+$H$3*D44)))</f>
        <v>0.16164200316659905</v>
      </c>
      <c r="J44">
        <f>-(EXP($E$3+$G$3*C44+$H$3*D44)/(1+EXP($E$3+$G$3*C44+$H$3*D44)))+(EXP($F$3+$G$3*C44+$H$3*D44)/(1+EXP($F$3+$G$3*C44+$H$3*D44)))</f>
        <v>0.70535301662710348</v>
      </c>
      <c r="K44">
        <f t="shared" si="0"/>
        <v>0.13300498020629747</v>
      </c>
      <c r="L44">
        <f t="shared" ca="1" si="1"/>
        <v>-0.15159347194262637</v>
      </c>
      <c r="O44">
        <f>MAX(I44:K44)</f>
        <v>0.70535301662710348</v>
      </c>
      <c r="P44">
        <f>MATCH(O44,I44:K44,0)</f>
        <v>2</v>
      </c>
      <c r="Q44">
        <f>IF(B44=P44,1,0)</f>
        <v>1</v>
      </c>
    </row>
    <row r="45" spans="1:17" x14ac:dyDescent="0.25">
      <c r="A45" s="22">
        <v>43</v>
      </c>
      <c r="B45" s="22">
        <v>1</v>
      </c>
      <c r="C45" s="22">
        <v>1</v>
      </c>
      <c r="D45" s="22">
        <v>49.5</v>
      </c>
      <c r="I45">
        <f>(EXP($E$3+$G$3*C45+$H$3*D45)/(1+EXP($E$3+$G$3*C45+$H$3*D45)))</f>
        <v>0.26122467111047887</v>
      </c>
      <c r="J45">
        <f>-(EXP($E$3+$G$3*C45+$H$3*D45)/(1+EXP($E$3+$G$3*C45+$H$3*D45)))+(EXP($F$3+$G$3*C45+$H$3*D45)/(1+EXP($F$3+$G$3*C45+$H$3*D45)))</f>
        <v>0.66158115345904744</v>
      </c>
      <c r="K45">
        <f t="shared" si="0"/>
        <v>7.7194175430473688E-2</v>
      </c>
      <c r="L45">
        <f t="shared" ca="1" si="1"/>
        <v>-0.58298580893920748</v>
      </c>
      <c r="O45">
        <f>MAX(I45:K45)</f>
        <v>0.66158115345904744</v>
      </c>
      <c r="P45">
        <f>MATCH(O45,I45:K45,0)</f>
        <v>2</v>
      </c>
      <c r="Q45">
        <f>IF(B45=P45,1,0)</f>
        <v>0</v>
      </c>
    </row>
    <row r="46" spans="1:17" x14ac:dyDescent="0.25">
      <c r="A46" s="22">
        <v>44</v>
      </c>
      <c r="B46" s="22">
        <v>2</v>
      </c>
      <c r="C46" s="22">
        <v>0</v>
      </c>
      <c r="D46" s="22">
        <v>33.75</v>
      </c>
      <c r="I46">
        <f>(EXP($E$3+$G$3*C46+$H$3*D46)/(1+EXP($E$3+$G$3*C46+$H$3*D46)))</f>
        <v>6.0172390020614176E-2</v>
      </c>
      <c r="J46">
        <f>-(EXP($E$3+$G$3*C46+$H$3*D46)/(1+EXP($E$3+$G$3*C46+$H$3*D46)))+(EXP($F$3+$G$3*C46+$H$3*D46)/(1+EXP($F$3+$G$3*C46+$H$3*D46)))</f>
        <v>0.62382961597637832</v>
      </c>
      <c r="K46">
        <f t="shared" si="0"/>
        <v>0.31599799400300754</v>
      </c>
      <c r="L46">
        <f t="shared" ca="1" si="1"/>
        <v>-0.20493401119188745</v>
      </c>
      <c r="O46">
        <f>MAX(I46:K46)</f>
        <v>0.62382961597637832</v>
      </c>
      <c r="P46">
        <f>MATCH(O46,I46:K46,0)</f>
        <v>2</v>
      </c>
      <c r="Q46">
        <f>IF(B46=P46,1,0)</f>
        <v>1</v>
      </c>
    </row>
    <row r="47" spans="1:17" x14ac:dyDescent="0.25">
      <c r="A47" s="22">
        <v>45</v>
      </c>
      <c r="B47" s="22">
        <v>2</v>
      </c>
      <c r="C47" s="22">
        <v>1</v>
      </c>
      <c r="D47" s="22">
        <v>43.5</v>
      </c>
      <c r="I47">
        <f>(EXP($E$3+$G$3*C47+$H$3*D47)/(1+EXP($E$3+$G$3*C47+$H$3*D47)))</f>
        <v>0.14587209045935437</v>
      </c>
      <c r="J47">
        <f>-(EXP($E$3+$G$3*C47+$H$3*D47)/(1+EXP($E$3+$G$3*C47+$H$3*D47)))+(EXP($F$3+$G$3*C47+$H$3*D47)/(1+EXP($F$3+$G$3*C47+$H$3*D47)))</f>
        <v>0.70650363045649811</v>
      </c>
      <c r="K47">
        <f t="shared" si="0"/>
        <v>0.14762427908414755</v>
      </c>
      <c r="L47">
        <f t="shared" ca="1" si="1"/>
        <v>-0.15088560213364918</v>
      </c>
      <c r="O47">
        <f>MAX(I47:K47)</f>
        <v>0.70650363045649811</v>
      </c>
      <c r="P47">
        <f>MATCH(O47,I47:K47,0)</f>
        <v>2</v>
      </c>
      <c r="Q47">
        <f>IF(B47=P47,1,0)</f>
        <v>1</v>
      </c>
    </row>
    <row r="48" spans="1:17" x14ac:dyDescent="0.25">
      <c r="A48" s="22">
        <v>46</v>
      </c>
      <c r="B48" s="22">
        <v>2</v>
      </c>
      <c r="C48" s="22">
        <v>0</v>
      </c>
      <c r="D48" s="22">
        <v>48</v>
      </c>
      <c r="I48">
        <f>(EXP($E$3+$G$3*C48+$H$3*D48)/(1+EXP($E$3+$G$3*C48+$H$3*D48)))</f>
        <v>0.26500683816134396</v>
      </c>
      <c r="J48">
        <f>-(EXP($E$3+$G$3*C48+$H$3*D48)/(1+EXP($E$3+$G$3*C48+$H$3*D48)))+(EXP($F$3+$G$3*C48+$H$3*D48)/(1+EXP($F$3+$G$3*C48+$H$3*D48)))</f>
        <v>0.65917719272147191</v>
      </c>
      <c r="K48">
        <f t="shared" si="0"/>
        <v>7.5815969117184134E-2</v>
      </c>
      <c r="L48">
        <f t="shared" ca="1" si="1"/>
        <v>-0.18099782747381365</v>
      </c>
      <c r="O48">
        <f>MAX(I48:K48)</f>
        <v>0.65917719272147191</v>
      </c>
      <c r="P48">
        <f>MATCH(O48,I48:K48,0)</f>
        <v>2</v>
      </c>
      <c r="Q48">
        <f>IF(B48=P48,1,0)</f>
        <v>1</v>
      </c>
    </row>
    <row r="49" spans="1:17" x14ac:dyDescent="0.25">
      <c r="A49" s="22">
        <v>47</v>
      </c>
      <c r="B49" s="22">
        <v>3</v>
      </c>
      <c r="C49" s="22">
        <v>1</v>
      </c>
      <c r="D49" s="22">
        <v>34</v>
      </c>
      <c r="I49">
        <f>(EXP($E$3+$G$3*C49+$H$3*D49)/(1+EXP($E$3+$G$3*C49+$H$3*D49)))</f>
        <v>5.1193012674850075E-2</v>
      </c>
      <c r="J49">
        <f>-(EXP($E$3+$G$3*C49+$H$3*D49)/(1+EXP($E$3+$G$3*C49+$H$3*D49)))+(EXP($F$3+$G$3*C49+$H$3*D49)/(1+EXP($F$3+$G$3*C49+$H$3*D49)))</f>
        <v>0.5947161735677915</v>
      </c>
      <c r="K49">
        <f t="shared" si="0"/>
        <v>0.3540908137573584</v>
      </c>
      <c r="L49">
        <f t="shared" ca="1" si="1"/>
        <v>-0.45088534007679104</v>
      </c>
      <c r="O49">
        <f>MAX(I49:K49)</f>
        <v>0.5947161735677915</v>
      </c>
      <c r="P49">
        <f>MATCH(O49,I49:K49,0)</f>
        <v>2</v>
      </c>
      <c r="Q49">
        <f>IF(B49=P49,1,0)</f>
        <v>0</v>
      </c>
    </row>
    <row r="50" spans="1:17" x14ac:dyDescent="0.25">
      <c r="A50" s="22">
        <v>48</v>
      </c>
      <c r="B50" s="22">
        <v>1</v>
      </c>
      <c r="C50" s="22">
        <v>1</v>
      </c>
      <c r="D50" s="22">
        <v>50</v>
      </c>
      <c r="I50">
        <f>(EXP($E$3+$G$3*C50+$H$3*D50)/(1+EXP($E$3+$G$3*C50+$H$3*D50)))</f>
        <v>0.27309656504631152</v>
      </c>
      <c r="J50">
        <f>-(EXP($E$3+$G$3*C50+$H$3*D50)/(1+EXP($E$3+$G$3*C50+$H$3*D50)))+(EXP($F$3+$G$3*C50+$H$3*D50)/(1+EXP($F$3+$G$3*C50+$H$3*D50)))</f>
        <v>0.65392004810010318</v>
      </c>
      <c r="K50">
        <f t="shared" si="0"/>
        <v>7.2983386853585297E-2</v>
      </c>
      <c r="L50">
        <f t="shared" ca="1" si="1"/>
        <v>-0.56368376229459161</v>
      </c>
      <c r="O50">
        <f>MAX(I50:K50)</f>
        <v>0.65392004810010318</v>
      </c>
      <c r="P50">
        <f>MATCH(O50,I50:K50,0)</f>
        <v>2</v>
      </c>
      <c r="Q50">
        <f>IF(B50=P50,1,0)</f>
        <v>0</v>
      </c>
    </row>
    <row r="51" spans="1:17" x14ac:dyDescent="0.25">
      <c r="A51" s="22">
        <v>49</v>
      </c>
      <c r="B51" s="22">
        <v>3</v>
      </c>
      <c r="C51" s="22">
        <v>0</v>
      </c>
      <c r="D51" s="22">
        <v>35</v>
      </c>
      <c r="I51">
        <f>(EXP($E$3+$G$3*C51+$H$3*D51)/(1+EXP($E$3+$G$3*C51+$H$3*D51)))</f>
        <v>6.9340081267474735E-2</v>
      </c>
      <c r="J51">
        <f>-(EXP($E$3+$G$3*C51+$H$3*D51)/(1+EXP($E$3+$G$3*C51+$H$3*D51)))+(EXP($F$3+$G$3*C51+$H$3*D51)/(1+EXP($F$3+$G$3*C51+$H$3*D51)))</f>
        <v>0.64648319978088131</v>
      </c>
      <c r="K51">
        <f t="shared" si="0"/>
        <v>0.28417671895164398</v>
      </c>
      <c r="L51">
        <f t="shared" ca="1" si="1"/>
        <v>-0.54641150432897567</v>
      </c>
      <c r="O51">
        <f>MAX(I51:K51)</f>
        <v>0.64648319978088131</v>
      </c>
      <c r="P51">
        <f>MATCH(O51,I51:K51,0)</f>
        <v>2</v>
      </c>
      <c r="Q51">
        <f>IF(B51=P51,1,0)</f>
        <v>0</v>
      </c>
    </row>
    <row r="52" spans="1:17" x14ac:dyDescent="0.25">
      <c r="A52" s="22">
        <v>50</v>
      </c>
      <c r="B52" s="22">
        <v>1</v>
      </c>
      <c r="C52" s="22">
        <v>1</v>
      </c>
      <c r="D52" s="22">
        <v>49</v>
      </c>
      <c r="I52">
        <f>(EXP($E$3+$G$3*C52+$H$3*D52)/(1+EXP($E$3+$G$3*C52+$H$3*D52)))</f>
        <v>0.24969158877622416</v>
      </c>
      <c r="J52">
        <f>-(EXP($E$3+$G$3*C52+$H$3*D52)/(1+EXP($E$3+$G$3*C52+$H$3*D52)))+(EXP($F$3+$G$3*C52+$H$3*D52)/(1+EXP($F$3+$G$3*C52+$H$3*D52)))</f>
        <v>0.66868189683668944</v>
      </c>
      <c r="K52">
        <f t="shared" si="0"/>
        <v>8.1626514387086457E-2</v>
      </c>
      <c r="L52">
        <f t="shared" ca="1" si="1"/>
        <v>-0.60259608724255953</v>
      </c>
      <c r="O52">
        <f>MAX(I52:K52)</f>
        <v>0.66868189683668944</v>
      </c>
      <c r="P52">
        <f>MATCH(O52,I52:K52,0)</f>
        <v>2</v>
      </c>
      <c r="Q52">
        <f>IF(B52=P52,1,0)</f>
        <v>0</v>
      </c>
    </row>
    <row r="53" spans="1:17" x14ac:dyDescent="0.25">
      <c r="A53" s="22">
        <v>51</v>
      </c>
      <c r="B53" s="22">
        <v>2</v>
      </c>
      <c r="C53" s="22">
        <v>0</v>
      </c>
      <c r="D53" s="22">
        <v>43.5</v>
      </c>
      <c r="I53">
        <f>(EXP($E$3+$G$3*C53+$H$3*D53)/(1+EXP($E$3+$G$3*C53+$H$3*D53)))</f>
        <v>0.17280038983017906</v>
      </c>
      <c r="J53">
        <f>-(EXP($E$3+$G$3*C53+$H$3*D53)/(1+EXP($E$3+$G$3*C53+$H$3*D53)))+(EXP($F$3+$G$3*C53+$H$3*D53)/(1+EXP($F$3+$G$3*C53+$H$3*D53)))</f>
        <v>0.7031685832398834</v>
      </c>
      <c r="K53">
        <f t="shared" si="0"/>
        <v>0.1240310269299375</v>
      </c>
      <c r="L53">
        <f t="shared" ca="1" si="1"/>
        <v>-0.15294054127665549</v>
      </c>
      <c r="O53">
        <f>MAX(I53:K53)</f>
        <v>0.7031685832398834</v>
      </c>
      <c r="P53">
        <f>MATCH(O53,I53:K53,0)</f>
        <v>2</v>
      </c>
      <c r="Q53">
        <f>IF(B53=P53,1,0)</f>
        <v>1</v>
      </c>
    </row>
    <row r="54" spans="1:17" x14ac:dyDescent="0.25">
      <c r="A54" s="22">
        <v>52</v>
      </c>
      <c r="B54" s="22">
        <v>3</v>
      </c>
      <c r="C54" s="22">
        <v>0</v>
      </c>
      <c r="D54" s="22">
        <v>37.25</v>
      </c>
      <c r="I54">
        <f>(EXP($E$3+$G$3*C54+$H$3*D54)/(1+EXP($E$3+$G$3*C54+$H$3*D54)))</f>
        <v>8.9157206982740961E-2</v>
      </c>
      <c r="J54">
        <f>-(EXP($E$3+$G$3*C54+$H$3*D54)/(1+EXP($E$3+$G$3*C54+$H$3*D54)))+(EXP($F$3+$G$3*C54+$H$3*D54)/(1+EXP($F$3+$G$3*C54+$H$3*D54)))</f>
        <v>0.67878690229236505</v>
      </c>
      <c r="K54">
        <f t="shared" si="0"/>
        <v>0.23205589072489397</v>
      </c>
      <c r="L54">
        <f t="shared" ca="1" si="1"/>
        <v>-0.63440740256559625</v>
      </c>
      <c r="O54">
        <f>MAX(I54:K54)</f>
        <v>0.67878690229236505</v>
      </c>
      <c r="P54">
        <f>MATCH(O54,I54:K54,0)</f>
        <v>2</v>
      </c>
      <c r="Q54">
        <f>IF(B54=P54,1,0)</f>
        <v>0</v>
      </c>
    </row>
    <row r="55" spans="1:17" x14ac:dyDescent="0.25">
      <c r="A55" s="22">
        <v>53</v>
      </c>
      <c r="B55" s="22">
        <v>3</v>
      </c>
      <c r="C55" s="22">
        <v>0</v>
      </c>
      <c r="D55" s="22">
        <v>39</v>
      </c>
      <c r="I55">
        <f>(EXP($E$3+$G$3*C55+$H$3*D55)/(1+EXP($E$3+$G$3*C55+$H$3*D55)))</f>
        <v>0.10796365112360869</v>
      </c>
      <c r="J55">
        <f>-(EXP($E$3+$G$3*C55+$H$3*D55)/(1+EXP($E$3+$G$3*C55+$H$3*D55)))+(EXP($F$3+$G$3*C55+$H$3*D55)/(1+EXP($F$3+$G$3*C55+$H$3*D55)))</f>
        <v>0.69564381845278822</v>
      </c>
      <c r="K55">
        <f t="shared" si="0"/>
        <v>0.19639253042360305</v>
      </c>
      <c r="L55">
        <f t="shared" ca="1" si="1"/>
        <v>-0.70687503415345554</v>
      </c>
      <c r="O55">
        <f>MAX(I55:K55)</f>
        <v>0.69564381845278822</v>
      </c>
      <c r="P55">
        <f>MATCH(O55,I55:K55,0)</f>
        <v>2</v>
      </c>
      <c r="Q55">
        <f>IF(B55=P55,1,0)</f>
        <v>0</v>
      </c>
    </row>
    <row r="56" spans="1:17" x14ac:dyDescent="0.25">
      <c r="A56" s="22">
        <v>54</v>
      </c>
      <c r="B56" s="22">
        <v>3</v>
      </c>
      <c r="C56" s="22">
        <v>1</v>
      </c>
      <c r="D56" s="22">
        <v>34.5</v>
      </c>
      <c r="I56">
        <f>(EXP($E$3+$G$3*C56+$H$3*D56)/(1+EXP($E$3+$G$3*C56+$H$3*D56)))</f>
        <v>5.4220134144998267E-2</v>
      </c>
      <c r="J56">
        <f>-(EXP($E$3+$G$3*C56+$H$3*D56)/(1+EXP($E$3+$G$3*C56+$H$3*D56)))+(EXP($F$3+$G$3*C56+$H$3*D56)/(1+EXP($F$3+$G$3*C56+$H$3*D56)))</f>
        <v>0.60543332889822132</v>
      </c>
      <c r="K56">
        <f t="shared" si="0"/>
        <v>0.34034653695678041</v>
      </c>
      <c r="L56">
        <f t="shared" ca="1" si="1"/>
        <v>-0.46807866400521025</v>
      </c>
      <c r="O56">
        <f>MAX(I56:K56)</f>
        <v>0.60543332889822132</v>
      </c>
      <c r="P56">
        <f>MATCH(O56,I56:K56,0)</f>
        <v>2</v>
      </c>
      <c r="Q56">
        <f>IF(B56=P56,1,0)</f>
        <v>0</v>
      </c>
    </row>
    <row r="57" spans="1:17" x14ac:dyDescent="0.25">
      <c r="A57" s="22">
        <v>55</v>
      </c>
      <c r="B57" s="22">
        <v>2</v>
      </c>
      <c r="C57" s="22">
        <v>1</v>
      </c>
      <c r="D57" s="22">
        <v>47.5</v>
      </c>
      <c r="I57">
        <f>(EXP($E$3+$G$3*C57+$H$3*D57)/(1+EXP($E$3+$G$3*C57+$H$3*D57)))</f>
        <v>0.21717728058863933</v>
      </c>
      <c r="J57">
        <f>-(EXP($E$3+$G$3*C57+$H$3*D57)/(1+EXP($E$3+$G$3*C57+$H$3*D57)))+(EXP($F$3+$G$3*C57+$H$3*D57)/(1+EXP($F$3+$G$3*C57+$H$3*D57)))</f>
        <v>0.68647801646821627</v>
      </c>
      <c r="K57">
        <f t="shared" si="0"/>
        <v>9.6344702943144345E-2</v>
      </c>
      <c r="L57">
        <f t="shared" ca="1" si="1"/>
        <v>-0.16337336589906135</v>
      </c>
      <c r="O57">
        <f>MAX(I57:K57)</f>
        <v>0.68647801646821627</v>
      </c>
      <c r="P57">
        <f>MATCH(O57,I57:K57,0)</f>
        <v>2</v>
      </c>
      <c r="Q57">
        <f>IF(B57=P57,1,0)</f>
        <v>1</v>
      </c>
    </row>
    <row r="58" spans="1:17" x14ac:dyDescent="0.25">
      <c r="A58" s="22">
        <v>56</v>
      </c>
      <c r="B58" s="22">
        <v>1</v>
      </c>
      <c r="C58" s="22">
        <v>0</v>
      </c>
      <c r="D58" s="22">
        <v>42</v>
      </c>
      <c r="I58">
        <f>(EXP($E$3+$G$3*C58+$H$3*D58)/(1+EXP($E$3+$G$3*C58+$H$3*D58)))</f>
        <v>0.14831941840530141</v>
      </c>
      <c r="J58">
        <f>-(EXP($E$3+$G$3*C58+$H$3*D58)/(1+EXP($E$3+$G$3*C58+$H$3*D58)))+(EXP($F$3+$G$3*C58+$H$3*D58)/(1+EXP($F$3+$G$3*C58+$H$3*D58)))</f>
        <v>0.70649411569701259</v>
      </c>
      <c r="K58">
        <f t="shared" si="0"/>
        <v>0.14518646589768602</v>
      </c>
      <c r="L58">
        <f t="shared" ca="1" si="1"/>
        <v>-0.82880198616521672</v>
      </c>
      <c r="O58">
        <f>MAX(I58:K58)</f>
        <v>0.70649411569701259</v>
      </c>
      <c r="P58">
        <f>MATCH(O58,I58:K58,0)</f>
        <v>2</v>
      </c>
      <c r="Q58">
        <f>IF(B58=P58,1,0)</f>
        <v>0</v>
      </c>
    </row>
    <row r="59" spans="1:17" x14ac:dyDescent="0.25">
      <c r="A59" s="22">
        <v>57</v>
      </c>
      <c r="B59" s="22">
        <v>2</v>
      </c>
      <c r="C59" s="22">
        <v>0</v>
      </c>
      <c r="D59" s="22">
        <v>45.5</v>
      </c>
      <c r="I59">
        <f>(EXP($E$3+$G$3*C59+$H$3*D59)/(1+EXP($E$3+$G$3*C59+$H$3*D59)))</f>
        <v>0.2102648596472943</v>
      </c>
      <c r="J59">
        <f>-(EXP($E$3+$G$3*C59+$H$3*D59)/(1+EXP($E$3+$G$3*C59+$H$3*D59)))+(EXP($F$3+$G$3*C59+$H$3*D59)/(1+EXP($F$3+$G$3*C59+$H$3*D59)))</f>
        <v>0.68974896452497325</v>
      </c>
      <c r="K59">
        <f t="shared" si="0"/>
        <v>9.9986175827732504E-2</v>
      </c>
      <c r="L59">
        <f t="shared" ca="1" si="1"/>
        <v>-0.16130894282620037</v>
      </c>
      <c r="O59">
        <f>MAX(I59:K59)</f>
        <v>0.68974896452497325</v>
      </c>
      <c r="P59">
        <f>MATCH(O59,I59:K59,0)</f>
        <v>2</v>
      </c>
      <c r="Q59">
        <f>IF(B59=P59,1,0)</f>
        <v>1</v>
      </c>
    </row>
    <row r="60" spans="1:17" x14ac:dyDescent="0.25">
      <c r="A60" s="22">
        <v>58</v>
      </c>
      <c r="B60" s="22">
        <v>2</v>
      </c>
      <c r="C60" s="22">
        <v>0</v>
      </c>
      <c r="D60" s="22">
        <v>38.5</v>
      </c>
      <c r="I60">
        <f>(EXP($E$3+$G$3*C60+$H$3*D60)/(1+EXP($E$3+$G$3*C60+$H$3*D60)))</f>
        <v>0.10226044179705526</v>
      </c>
      <c r="J60">
        <f>-(EXP($E$3+$G$3*C60+$H$3*D60)/(1+EXP($E$3+$G$3*C60+$H$3*D60)))+(EXP($F$3+$G$3*C60+$H$3*D60)/(1+EXP($F$3+$G$3*C60+$H$3*D60)))</f>
        <v>0.69159942310510847</v>
      </c>
      <c r="K60">
        <f t="shared" si="0"/>
        <v>0.20614013509783624</v>
      </c>
      <c r="L60">
        <f t="shared" ca="1" si="1"/>
        <v>-0.16014537766296832</v>
      </c>
      <c r="O60">
        <f>MAX(I60:K60)</f>
        <v>0.69159942310510847</v>
      </c>
      <c r="P60">
        <f>MATCH(O60,I60:K60,0)</f>
        <v>2</v>
      </c>
      <c r="Q60">
        <f>IF(B60=P60,1,0)</f>
        <v>1</v>
      </c>
    </row>
    <row r="61" spans="1:17" x14ac:dyDescent="0.25">
      <c r="A61" s="22">
        <v>59</v>
      </c>
      <c r="B61" s="22">
        <v>2</v>
      </c>
      <c r="C61" s="22">
        <v>1</v>
      </c>
      <c r="D61" s="22">
        <v>36.5</v>
      </c>
      <c r="I61">
        <f>(EXP($E$3+$G$3*C61+$H$3*D61)/(1+EXP($E$3+$G$3*C61+$H$3*D61)))</f>
        <v>6.809175317572827E-2</v>
      </c>
      <c r="J61">
        <f>-(EXP($E$3+$G$3*C61+$H$3*D61)/(1+EXP($E$3+$G$3*C61+$H$3*D61)))+(EXP($F$3+$G$3*C61+$H$3*D61)/(1+EXP($F$3+$G$3*C61+$H$3*D61)))</f>
        <v>0.64374666723336249</v>
      </c>
      <c r="K61">
        <f t="shared" si="0"/>
        <v>0.28816157959090927</v>
      </c>
      <c r="L61">
        <f t="shared" ca="1" si="1"/>
        <v>-0.19128500634827775</v>
      </c>
      <c r="O61">
        <f>MAX(I61:K61)</f>
        <v>0.64374666723336249</v>
      </c>
      <c r="P61">
        <f>MATCH(O61,I61:K61,0)</f>
        <v>2</v>
      </c>
      <c r="Q61">
        <f>IF(B61=P61,1,0)</f>
        <v>1</v>
      </c>
    </row>
    <row r="62" spans="1:17" x14ac:dyDescent="0.25">
      <c r="A62" s="22">
        <v>60</v>
      </c>
      <c r="B62" s="22">
        <v>2</v>
      </c>
      <c r="C62" s="22">
        <v>0</v>
      </c>
      <c r="D62" s="22">
        <v>37.5</v>
      </c>
      <c r="I62">
        <f>(EXP($E$3+$G$3*C62+$H$3*D62)/(1+EXP($E$3+$G$3*C62+$H$3*D62)))</f>
        <v>9.1650505017616804E-2</v>
      </c>
      <c r="J62">
        <f>-(EXP($E$3+$G$3*C62+$H$3*D62)/(1+EXP($E$3+$G$3*C62+$H$3*D62)))+(EXP($F$3+$G$3*C62+$H$3*D62)/(1+EXP($F$3+$G$3*C62+$H$3*D62)))</f>
        <v>0.68165328153375693</v>
      </c>
      <c r="K62">
        <f t="shared" si="0"/>
        <v>0.22669621344862623</v>
      </c>
      <c r="L62">
        <f t="shared" ca="1" si="1"/>
        <v>-0.16643647021948363</v>
      </c>
      <c r="O62">
        <f>MAX(I62:K62)</f>
        <v>0.68165328153375693</v>
      </c>
      <c r="P62">
        <f>MATCH(O62,I62:K62,0)</f>
        <v>2</v>
      </c>
      <c r="Q62">
        <f>IF(B62=P62,1,0)</f>
        <v>1</v>
      </c>
    </row>
    <row r="63" spans="1:17" x14ac:dyDescent="0.25">
      <c r="A63" s="22">
        <v>61</v>
      </c>
      <c r="B63" s="22">
        <v>3</v>
      </c>
      <c r="C63" s="22">
        <v>1</v>
      </c>
      <c r="D63" s="22">
        <v>38.5</v>
      </c>
      <c r="I63">
        <f>(EXP($E$3+$G$3*C63+$H$3*D63)/(1+EXP($E$3+$G$3*C63+$H$3*D63)))</f>
        <v>8.5192599166110314E-2</v>
      </c>
      <c r="J63">
        <f>-(EXP($E$3+$G$3*C63+$H$3*D63)/(1+EXP($E$3+$G$3*C63+$H$3*D63)))+(EXP($F$3+$G$3*C63+$H$3*D63)/(1+EXP($F$3+$G$3*C63+$H$3*D63)))</f>
        <v>0.67375325445181922</v>
      </c>
      <c r="K63">
        <f t="shared" si="0"/>
        <v>0.24105414638207046</v>
      </c>
      <c r="L63">
        <f t="shared" ca="1" si="1"/>
        <v>-0.61788539379986829</v>
      </c>
      <c r="O63">
        <f>MAX(I63:K63)</f>
        <v>0.67375325445181922</v>
      </c>
      <c r="P63">
        <f>MATCH(O63,I63:K63,0)</f>
        <v>2</v>
      </c>
      <c r="Q63">
        <f>IF(B63=P63,1,0)</f>
        <v>0</v>
      </c>
    </row>
    <row r="64" spans="1:17" x14ac:dyDescent="0.25">
      <c r="A64" s="22">
        <v>62</v>
      </c>
      <c r="B64" s="22">
        <v>2</v>
      </c>
      <c r="C64" s="22">
        <v>0</v>
      </c>
      <c r="D64" s="22">
        <v>47</v>
      </c>
      <c r="I64">
        <f>(EXP($E$3+$G$3*C64+$H$3*D64)/(1+EXP($E$3+$G$3*C64+$H$3*D64)))</f>
        <v>0.24206429272100696</v>
      </c>
      <c r="J64">
        <f>-(EXP($E$3+$G$3*C64+$H$3*D64)/(1+EXP($E$3+$G$3*C64+$H$3*D64)))+(EXP($F$3+$G$3*C64+$H$3*D64)/(1+EXP($F$3+$G$3*C64+$H$3*D64)))</f>
        <v>0.67317183210981313</v>
      </c>
      <c r="K64">
        <f t="shared" si="0"/>
        <v>8.4763875169179936E-2</v>
      </c>
      <c r="L64">
        <f t="shared" ca="1" si="1"/>
        <v>-0.17187406473306874</v>
      </c>
      <c r="O64">
        <f>MAX(I64:K64)</f>
        <v>0.67317183210981313</v>
      </c>
      <c r="P64">
        <f>MATCH(O64,I64:K64,0)</f>
        <v>2</v>
      </c>
      <c r="Q64">
        <f>IF(B64=P64,1,0)</f>
        <v>1</v>
      </c>
    </row>
    <row r="65" spans="1:17" x14ac:dyDescent="0.25">
      <c r="A65" s="22">
        <v>63</v>
      </c>
      <c r="B65" s="22">
        <v>2</v>
      </c>
      <c r="C65" s="22">
        <v>0</v>
      </c>
      <c r="D65" s="22">
        <v>39.75</v>
      </c>
      <c r="I65">
        <f>(EXP($E$3+$G$3*C65+$H$3*D65)/(1+EXP($E$3+$G$3*C65+$H$3*D65)))</f>
        <v>0.11704197319071456</v>
      </c>
      <c r="J65">
        <f>-(EXP($E$3+$G$3*C65+$H$3*D65)/(1+EXP($E$3+$G$3*C65+$H$3*D65)))+(EXP($F$3+$G$3*C65+$H$3*D65)/(1+EXP($F$3+$G$3*C65+$H$3*D65)))</f>
        <v>0.70052695335950754</v>
      </c>
      <c r="K65">
        <f t="shared" si="0"/>
        <v>0.18243107344977794</v>
      </c>
      <c r="L65">
        <f t="shared" ca="1" si="1"/>
        <v>-0.15457515021388568</v>
      </c>
      <c r="O65">
        <f>MAX(I65:K65)</f>
        <v>0.70052695335950754</v>
      </c>
      <c r="P65">
        <f>MATCH(O65,I65:K65,0)</f>
        <v>2</v>
      </c>
      <c r="Q65">
        <f>IF(B65=P65,1,0)</f>
        <v>1</v>
      </c>
    </row>
    <row r="66" spans="1:17" x14ac:dyDescent="0.25">
      <c r="A66" s="22">
        <v>64</v>
      </c>
      <c r="B66" s="22">
        <v>1</v>
      </c>
      <c r="C66" s="22">
        <v>1</v>
      </c>
      <c r="D66" s="22">
        <v>60</v>
      </c>
      <c r="I66">
        <f>(EXP($E$3+$G$3*C66+$H$3*D66)/(1+EXP($E$3+$G$3*C66+$H$3*D66)))</f>
        <v>0.55821679977208405</v>
      </c>
      <c r="J66">
        <f>-(EXP($E$3+$G$3*C66+$H$3*D66)/(1+EXP($E$3+$G$3*C66+$H$3*D66)))+(EXP($F$3+$G$3*C66+$H$3*D66)/(1+EXP($F$3+$G$3*C66+$H$3*D66)))</f>
        <v>0.41890967578025984</v>
      </c>
      <c r="K66">
        <f t="shared" si="0"/>
        <v>2.2873524447656113E-2</v>
      </c>
      <c r="L66">
        <f t="shared" ca="1" si="1"/>
        <v>-0.25319709737350132</v>
      </c>
      <c r="O66">
        <f>MAX(I66:K66)</f>
        <v>0.55821679977208405</v>
      </c>
      <c r="P66">
        <f>MATCH(O66,I66:K66,0)</f>
        <v>1</v>
      </c>
      <c r="Q66">
        <f>IF(B66=P66,1,0)</f>
        <v>1</v>
      </c>
    </row>
    <row r="67" spans="1:17" x14ac:dyDescent="0.25">
      <c r="A67" s="22">
        <v>65</v>
      </c>
      <c r="B67" s="22">
        <v>2</v>
      </c>
      <c r="C67" s="22">
        <v>0</v>
      </c>
      <c r="D67" s="22">
        <v>41</v>
      </c>
      <c r="I67">
        <f>(EXP($E$3+$G$3*C67+$H$3*D67)/(1+EXP($E$3+$G$3*C67+$H$3*D67)))</f>
        <v>0.13364207282982801</v>
      </c>
      <c r="J67">
        <f>-(EXP($E$3+$G$3*C67+$H$3*D67)/(1+EXP($E$3+$G$3*C67+$H$3*D67)))+(EXP($F$3+$G$3*C67+$H$3*D67)/(1+EXP($F$3+$G$3*C67+$H$3*D67)))</f>
        <v>0.70546170733468305</v>
      </c>
      <c r="K67">
        <f t="shared" si="0"/>
        <v>0.16089621983548896</v>
      </c>
      <c r="L67">
        <f t="shared" ca="1" si="1"/>
        <v>-0.15152655489983169</v>
      </c>
      <c r="O67">
        <f>MAX(I67:K67)</f>
        <v>0.70546170733468305</v>
      </c>
      <c r="P67">
        <f>MATCH(O67,I67:K67,0)</f>
        <v>2</v>
      </c>
      <c r="Q67">
        <f>IF(B67=P67,1,0)</f>
        <v>1</v>
      </c>
    </row>
    <row r="68" spans="1:17" x14ac:dyDescent="0.25">
      <c r="A68" s="22">
        <v>66</v>
      </c>
      <c r="B68" s="22">
        <v>2</v>
      </c>
      <c r="C68" s="22">
        <v>1</v>
      </c>
      <c r="D68" s="22">
        <v>41</v>
      </c>
      <c r="I68">
        <f>(EXP($E$3+$G$3*C68+$H$3*D68)/(1+EXP($E$3+$G$3*C68+$H$3*D68)))</f>
        <v>0.11198985302534332</v>
      </c>
      <c r="J68">
        <f>-(EXP($E$3+$G$3*C68+$H$3*D68)/(1+EXP($E$3+$G$3*C68+$H$3*D68)))+(EXP($F$3+$G$3*C68+$H$3*D68)/(1+EXP($F$3+$G$3*C68+$H$3*D68)))</f>
        <v>0.69802903965269114</v>
      </c>
      <c r="K68">
        <f t="shared" ref="K68:K75" si="3">1-I68-J68</f>
        <v>0.18998110732196549</v>
      </c>
      <c r="L68">
        <f t="shared" ref="L68:L75" ca="1" si="4">LOG(OFFSET($H$2,A68,B68))</f>
        <v>-0.15612650932730163</v>
      </c>
      <c r="O68">
        <f>MAX(I68:K68)</f>
        <v>0.69802903965269114</v>
      </c>
      <c r="P68">
        <f>MATCH(O68,I68:K68,0)</f>
        <v>2</v>
      </c>
      <c r="Q68">
        <f>IF(B68=P68,1,0)</f>
        <v>1</v>
      </c>
    </row>
    <row r="69" spans="1:17" x14ac:dyDescent="0.25">
      <c r="A69" s="22">
        <v>67</v>
      </c>
      <c r="B69" s="22">
        <v>3</v>
      </c>
      <c r="C69" s="22">
        <v>1</v>
      </c>
      <c r="D69" s="22">
        <v>30</v>
      </c>
      <c r="I69">
        <f>(EXP($E$3+$G$3*C69+$H$3*D69)/(1+EXP($E$3+$G$3*C69+$H$3*D69)))</f>
        <v>3.214700634667423E-2</v>
      </c>
      <c r="J69">
        <f>-(EXP($E$3+$G$3*C69+$H$3*D69)/(1+EXP($E$3+$G$3*C69+$H$3*D69)))+(EXP($F$3+$G$3*C69+$H$3*D69)/(1+EXP($F$3+$G$3*C69+$H$3*D69)))</f>
        <v>0.49680730356761571</v>
      </c>
      <c r="K69">
        <f t="shared" si="3"/>
        <v>0.47104569008571007</v>
      </c>
      <c r="L69">
        <f t="shared" ca="1" si="4"/>
        <v>-0.32693696550440399</v>
      </c>
      <c r="O69">
        <f>MAX(I69:K69)</f>
        <v>0.49680730356761571</v>
      </c>
      <c r="P69">
        <f>MATCH(O69,I69:K69,0)</f>
        <v>2</v>
      </c>
      <c r="Q69">
        <f>IF(B69=P69,1,0)</f>
        <v>0</v>
      </c>
    </row>
    <row r="70" spans="1:17" x14ac:dyDescent="0.25">
      <c r="A70" s="22">
        <v>68</v>
      </c>
      <c r="B70" s="22">
        <v>2</v>
      </c>
      <c r="C70" s="22">
        <v>0</v>
      </c>
      <c r="D70" s="22">
        <v>45</v>
      </c>
      <c r="I70">
        <f>(EXP($E$3+$G$3*C70+$H$3*D70)/(1+EXP($E$3+$G$3*C70+$H$3*D70)))</f>
        <v>0.20037144114587099</v>
      </c>
      <c r="J70">
        <f>-(EXP($E$3+$G$3*C70+$H$3*D70)/(1+EXP($E$3+$G$3*C70+$H$3*D70)))+(EXP($F$3+$G$3*C70+$H$3*D70)/(1+EXP($F$3+$G$3*C70+$H$3*D70)))</f>
        <v>0.69405109599187942</v>
      </c>
      <c r="K70">
        <f t="shared" si="3"/>
        <v>0.10557746286224956</v>
      </c>
      <c r="L70">
        <f t="shared" ca="1" si="4"/>
        <v>-0.15860855563958109</v>
      </c>
      <c r="O70">
        <f>MAX(I70:K70)</f>
        <v>0.69405109599187942</v>
      </c>
      <c r="P70">
        <f>MATCH(O70,I70:K70,0)</f>
        <v>2</v>
      </c>
      <c r="Q70">
        <f>IF(B70=P70,1,0)</f>
        <v>1</v>
      </c>
    </row>
    <row r="71" spans="1:17" x14ac:dyDescent="0.25">
      <c r="A71" s="22">
        <v>69</v>
      </c>
      <c r="B71" s="22">
        <v>2</v>
      </c>
      <c r="C71" s="22">
        <v>0</v>
      </c>
      <c r="D71" s="22">
        <v>51</v>
      </c>
      <c r="I71">
        <f>(EXP($E$3+$G$3*C71+$H$3*D71)/(1+EXP($E$3+$G$3*C71+$H$3*D71)))</f>
        <v>0.34158549911953001</v>
      </c>
      <c r="J71">
        <f>-(EXP($E$3+$G$3*C71+$H$3*D71)/(1+EXP($E$3+$G$3*C71+$H$3*D71)))+(EXP($F$3+$G$3*C71+$H$3*D71)/(1+EXP($F$3+$G$3*C71+$H$3*D71)))</f>
        <v>0.60447641466613877</v>
      </c>
      <c r="K71">
        <f t="shared" si="3"/>
        <v>5.3938086214331271E-2</v>
      </c>
      <c r="L71">
        <f t="shared" ca="1" si="4"/>
        <v>-0.21862063968356729</v>
      </c>
      <c r="O71">
        <f>MAX(I71:K71)</f>
        <v>0.60447641466613877</v>
      </c>
      <c r="P71">
        <f>MATCH(O71,I71:K71,0)</f>
        <v>2</v>
      </c>
      <c r="Q71">
        <f>IF(B71=P71,1,0)</f>
        <v>1</v>
      </c>
    </row>
    <row r="72" spans="1:17" x14ac:dyDescent="0.25">
      <c r="A72" s="22">
        <v>70</v>
      </c>
      <c r="B72" s="22">
        <v>2</v>
      </c>
      <c r="C72" s="22">
        <v>0</v>
      </c>
      <c r="D72" s="22">
        <v>35.25</v>
      </c>
      <c r="I72">
        <f>(EXP($E$3+$G$3*C72+$H$3*D72)/(1+EXP($E$3+$G$3*C72+$H$3*D72)))</f>
        <v>7.1322584896335056E-2</v>
      </c>
      <c r="J72">
        <f>-(EXP($E$3+$G$3*C72+$H$3*D72)/(1+EXP($E$3+$G$3*C72+$H$3*D72)))+(EXP($F$3+$G$3*C72+$H$3*D72)/(1+EXP($F$3+$G$3*C72+$H$3*D72)))</f>
        <v>0.65062831955938505</v>
      </c>
      <c r="K72">
        <f t="shared" si="3"/>
        <v>0.27804909554427992</v>
      </c>
      <c r="L72">
        <f t="shared" ca="1" si="4"/>
        <v>-0.18666703733344547</v>
      </c>
      <c r="O72">
        <f>MAX(I72:K72)</f>
        <v>0.65062831955938505</v>
      </c>
      <c r="P72">
        <f>MATCH(O72,I72:K72,0)</f>
        <v>2</v>
      </c>
      <c r="Q72">
        <f>IF(B72=P72,1,0)</f>
        <v>1</v>
      </c>
    </row>
    <row r="73" spans="1:17" x14ac:dyDescent="0.25">
      <c r="A73" s="22">
        <v>71</v>
      </c>
      <c r="B73" s="22">
        <v>1</v>
      </c>
      <c r="C73" s="22">
        <v>0</v>
      </c>
      <c r="D73" s="22">
        <v>40.5</v>
      </c>
      <c r="I73">
        <f>(EXP($E$3+$G$3*C73+$H$3*D73)/(1+EXP($E$3+$G$3*C73+$H$3*D73)))</f>
        <v>0.12677517376540823</v>
      </c>
      <c r="J73">
        <f>-(EXP($E$3+$G$3*C73+$H$3*D73)/(1+EXP($E$3+$G$3*C73+$H$3*D73)))+(EXP($F$3+$G$3*C73+$H$3*D73)/(1+EXP($F$3+$G$3*C73+$H$3*D73)))</f>
        <v>0.70397173592568341</v>
      </c>
      <c r="K73">
        <f t="shared" si="3"/>
        <v>0.16925309030890834</v>
      </c>
      <c r="L73">
        <f t="shared" ca="1" si="4"/>
        <v>-0.89696578551046802</v>
      </c>
      <c r="O73">
        <f>MAX(I73:K73)</f>
        <v>0.70397173592568341</v>
      </c>
      <c r="P73">
        <f>MATCH(O73,I73:K73,0)</f>
        <v>2</v>
      </c>
      <c r="Q73">
        <f>IF(B73=P73,1,0)</f>
        <v>0</v>
      </c>
    </row>
    <row r="74" spans="1:17" x14ac:dyDescent="0.25">
      <c r="A74" s="22">
        <v>72</v>
      </c>
      <c r="B74" s="22">
        <v>2</v>
      </c>
      <c r="C74" s="22">
        <v>0</v>
      </c>
      <c r="D74" s="22">
        <v>39.5</v>
      </c>
      <c r="I74">
        <f>(EXP($E$3+$G$3*C74+$H$3*D74)/(1+EXP($E$3+$G$3*C74+$H$3*D74)))</f>
        <v>0.11394456505525356</v>
      </c>
      <c r="J74">
        <f>-(EXP($E$3+$G$3*C74+$H$3*D74)/(1+EXP($E$3+$G$3*C74+$H$3*D74)))+(EXP($F$3+$G$3*C74+$H$3*D74)/(1+EXP($F$3+$G$3*C74+$H$3*D74)))</f>
        <v>0.69905815473355015</v>
      </c>
      <c r="K74">
        <f t="shared" si="3"/>
        <v>0.18699728021119633</v>
      </c>
      <c r="L74">
        <f t="shared" ca="1" si="4"/>
        <v>-0.15548669374028176</v>
      </c>
      <c r="O74">
        <f>MAX(I74:K74)</f>
        <v>0.69905815473355015</v>
      </c>
      <c r="P74">
        <f>MATCH(O74,I74:K74,0)</f>
        <v>2</v>
      </c>
      <c r="Q74">
        <f>IF(B74=P74,1,0)</f>
        <v>1</v>
      </c>
    </row>
    <row r="75" spans="1:17" x14ac:dyDescent="0.25">
      <c r="A75" s="22">
        <v>73</v>
      </c>
      <c r="B75" s="22">
        <v>3</v>
      </c>
      <c r="C75" s="22">
        <v>0</v>
      </c>
      <c r="D75" s="22">
        <v>36</v>
      </c>
      <c r="I75">
        <f>(EXP($E$3+$G$3*C75+$H$3*D75)/(1+EXP($E$3+$G$3*C75+$H$3*D75)))</f>
        <v>7.7587858613668292E-2</v>
      </c>
      <c r="J75">
        <f>-(EXP($E$3+$G$3*C75+$H$3*D75)/(1+EXP($E$3+$G$3*C75+$H$3*D75)))+(EXP($F$3+$G$3*C75+$H$3*D75)/(1+EXP($F$3+$G$3*C75+$H$3*D75)))</f>
        <v>0.66225012845273934</v>
      </c>
      <c r="K75">
        <f t="shared" si="3"/>
        <v>0.26016201293359242</v>
      </c>
      <c r="L75">
        <f t="shared" ca="1" si="4"/>
        <v>-0.58475611583629628</v>
      </c>
      <c r="O75">
        <f>MAX(I75:K75)</f>
        <v>0.66225012845273934</v>
      </c>
      <c r="P75">
        <f>MATCH(O75,I75:K75,0)</f>
        <v>2</v>
      </c>
      <c r="Q75">
        <f>IF(B75=P75,1,0)</f>
        <v>0</v>
      </c>
    </row>
  </sheetData>
  <mergeCells count="4">
    <mergeCell ref="W2:AA10"/>
    <mergeCell ref="G1:H1"/>
    <mergeCell ref="S1:U1"/>
    <mergeCell ref="S4:U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2"/>
  <sheetViews>
    <sheetView workbookViewId="0">
      <selection activeCell="L13" sqref="L13"/>
    </sheetView>
  </sheetViews>
  <sheetFormatPr defaultRowHeight="15" x14ac:dyDescent="0.25"/>
  <cols>
    <col min="1" max="8" width="9.140625" style="22"/>
  </cols>
  <sheetData>
    <row r="1" spans="1:8" x14ac:dyDescent="0.25">
      <c r="C1" s="36" t="s">
        <v>85</v>
      </c>
      <c r="D1" s="36"/>
      <c r="E1" s="32" t="s">
        <v>86</v>
      </c>
      <c r="F1" s="32" t="s">
        <v>87</v>
      </c>
      <c r="G1" s="36" t="s">
        <v>88</v>
      </c>
      <c r="H1" s="36"/>
    </row>
    <row r="2" spans="1:8" x14ac:dyDescent="0.25">
      <c r="A2" s="19" t="s">
        <v>58</v>
      </c>
      <c r="B2" s="19" t="s">
        <v>110</v>
      </c>
      <c r="C2" s="33" t="s">
        <v>60</v>
      </c>
      <c r="D2" s="33" t="s">
        <v>61</v>
      </c>
      <c r="E2" s="33" t="s">
        <v>62</v>
      </c>
      <c r="F2" s="33" t="s">
        <v>63</v>
      </c>
      <c r="G2" s="33" t="s">
        <v>64</v>
      </c>
      <c r="H2" s="33" t="s">
        <v>65</v>
      </c>
    </row>
    <row r="3" spans="1:8" x14ac:dyDescent="0.25">
      <c r="A3" s="34">
        <v>101</v>
      </c>
      <c r="B3" s="34">
        <v>0</v>
      </c>
      <c r="C3" s="34">
        <v>0</v>
      </c>
      <c r="D3" s="34">
        <v>1</v>
      </c>
      <c r="E3" s="34">
        <v>-1</v>
      </c>
      <c r="F3" s="34">
        <v>1</v>
      </c>
      <c r="G3" s="34">
        <v>-1</v>
      </c>
      <c r="H3" s="34">
        <v>-1</v>
      </c>
    </row>
    <row r="4" spans="1:8" x14ac:dyDescent="0.25">
      <c r="A4" s="34">
        <v>101</v>
      </c>
      <c r="B4" s="34">
        <v>0</v>
      </c>
      <c r="C4" s="34">
        <v>1</v>
      </c>
      <c r="D4" s="34">
        <v>0</v>
      </c>
      <c r="E4" s="34">
        <v>1</v>
      </c>
      <c r="F4" s="34">
        <v>-1</v>
      </c>
      <c r="G4" s="34">
        <v>-1</v>
      </c>
      <c r="H4" s="34">
        <v>-1</v>
      </c>
    </row>
    <row r="5" spans="1:8" x14ac:dyDescent="0.25">
      <c r="A5" s="34">
        <v>101</v>
      </c>
      <c r="B5" s="34">
        <v>1</v>
      </c>
      <c r="C5" s="34">
        <v>0</v>
      </c>
      <c r="D5" s="34">
        <v>1</v>
      </c>
      <c r="E5" s="34">
        <v>1</v>
      </c>
      <c r="F5" s="34">
        <v>1</v>
      </c>
      <c r="G5" s="34">
        <v>1</v>
      </c>
      <c r="H5" s="34">
        <v>0</v>
      </c>
    </row>
    <row r="6" spans="1:8" x14ac:dyDescent="0.25">
      <c r="A6" s="19">
        <v>102</v>
      </c>
      <c r="B6" s="19">
        <v>0</v>
      </c>
      <c r="C6" s="19">
        <v>0</v>
      </c>
      <c r="D6" s="19">
        <v>1</v>
      </c>
      <c r="E6" s="19">
        <v>1</v>
      </c>
      <c r="F6" s="19">
        <v>-1</v>
      </c>
      <c r="G6" s="19">
        <v>0</v>
      </c>
      <c r="H6" s="19">
        <v>1</v>
      </c>
    </row>
    <row r="7" spans="1:8" x14ac:dyDescent="0.25">
      <c r="A7" s="19">
        <v>102</v>
      </c>
      <c r="B7" s="19">
        <v>0</v>
      </c>
      <c r="C7" s="19">
        <v>1</v>
      </c>
      <c r="D7" s="19">
        <v>0</v>
      </c>
      <c r="E7" s="19">
        <v>-1</v>
      </c>
      <c r="F7" s="19">
        <v>-1</v>
      </c>
      <c r="G7" s="19">
        <v>1</v>
      </c>
      <c r="H7" s="19">
        <v>0</v>
      </c>
    </row>
    <row r="8" spans="1:8" x14ac:dyDescent="0.25">
      <c r="A8" s="19">
        <v>102</v>
      </c>
      <c r="B8" s="19">
        <v>1</v>
      </c>
      <c r="C8" s="19">
        <v>1</v>
      </c>
      <c r="D8" s="19">
        <v>0</v>
      </c>
      <c r="E8" s="19">
        <v>1</v>
      </c>
      <c r="F8" s="19">
        <v>1</v>
      </c>
      <c r="G8" s="19">
        <v>1</v>
      </c>
      <c r="H8" s="19">
        <v>0</v>
      </c>
    </row>
    <row r="9" spans="1:8" x14ac:dyDescent="0.25">
      <c r="A9" s="35">
        <v>103</v>
      </c>
      <c r="B9" s="35">
        <v>1</v>
      </c>
      <c r="C9" s="35">
        <v>1</v>
      </c>
      <c r="D9" s="35">
        <v>0</v>
      </c>
      <c r="E9" s="35">
        <v>-1</v>
      </c>
      <c r="F9" s="35">
        <v>-1</v>
      </c>
      <c r="G9" s="35">
        <v>1</v>
      </c>
      <c r="H9" s="35">
        <v>0</v>
      </c>
    </row>
    <row r="10" spans="1:8" x14ac:dyDescent="0.25">
      <c r="A10" s="35">
        <v>103</v>
      </c>
      <c r="B10" s="35">
        <v>0</v>
      </c>
      <c r="C10" s="35">
        <v>-1</v>
      </c>
      <c r="D10" s="35">
        <v>-1</v>
      </c>
      <c r="E10" s="35">
        <v>1</v>
      </c>
      <c r="F10" s="35">
        <v>-1</v>
      </c>
      <c r="G10" s="35">
        <v>0</v>
      </c>
      <c r="H10" s="35">
        <v>1</v>
      </c>
    </row>
    <row r="11" spans="1:8" x14ac:dyDescent="0.25">
      <c r="A11" s="35">
        <v>103</v>
      </c>
      <c r="B11" s="35">
        <v>0</v>
      </c>
      <c r="C11" s="35">
        <v>1</v>
      </c>
      <c r="D11" s="35">
        <v>0</v>
      </c>
      <c r="E11" s="35">
        <v>1</v>
      </c>
      <c r="F11" s="35">
        <v>-1</v>
      </c>
      <c r="G11" s="35">
        <v>-1</v>
      </c>
      <c r="H11" s="35">
        <v>-1</v>
      </c>
    </row>
    <row r="12" spans="1:8" x14ac:dyDescent="0.25">
      <c r="A12" s="22">
        <v>104</v>
      </c>
      <c r="B12" s="22">
        <v>0</v>
      </c>
      <c r="C12" s="22">
        <v>1</v>
      </c>
      <c r="D12" s="22">
        <v>0</v>
      </c>
      <c r="E12" s="22">
        <v>1</v>
      </c>
      <c r="F12" s="22">
        <v>-1</v>
      </c>
      <c r="G12" s="22">
        <v>-1</v>
      </c>
      <c r="H12" s="22">
        <v>-1</v>
      </c>
    </row>
    <row r="13" spans="1:8" x14ac:dyDescent="0.25">
      <c r="A13" s="22">
        <v>104</v>
      </c>
      <c r="B13" s="22">
        <v>0</v>
      </c>
      <c r="C13" s="22">
        <v>-1</v>
      </c>
      <c r="D13" s="22">
        <v>-1</v>
      </c>
      <c r="E13" s="22">
        <v>1</v>
      </c>
      <c r="F13" s="22">
        <v>1</v>
      </c>
      <c r="G13" s="22">
        <v>-1</v>
      </c>
      <c r="H13" s="22">
        <v>-1</v>
      </c>
    </row>
    <row r="14" spans="1:8" x14ac:dyDescent="0.25">
      <c r="A14" s="22">
        <v>104</v>
      </c>
      <c r="B14" s="22">
        <v>1</v>
      </c>
      <c r="C14" s="22">
        <v>1</v>
      </c>
      <c r="D14" s="22">
        <v>0</v>
      </c>
      <c r="E14" s="22">
        <v>-1</v>
      </c>
      <c r="F14" s="22">
        <v>-1</v>
      </c>
      <c r="G14" s="22">
        <v>1</v>
      </c>
      <c r="H14" s="22">
        <v>0</v>
      </c>
    </row>
    <row r="15" spans="1:8" x14ac:dyDescent="0.25">
      <c r="A15" s="22">
        <v>105</v>
      </c>
      <c r="B15" s="22">
        <v>1</v>
      </c>
      <c r="C15" s="22">
        <v>-1</v>
      </c>
      <c r="D15" s="22">
        <v>-1</v>
      </c>
      <c r="E15" s="22">
        <v>-1</v>
      </c>
      <c r="F15" s="22">
        <v>-1</v>
      </c>
      <c r="G15" s="22">
        <v>1</v>
      </c>
      <c r="H15" s="22">
        <v>0</v>
      </c>
    </row>
    <row r="16" spans="1:8" x14ac:dyDescent="0.25">
      <c r="A16" s="22">
        <v>105</v>
      </c>
      <c r="B16" s="22">
        <v>0</v>
      </c>
      <c r="C16" s="22">
        <v>0</v>
      </c>
      <c r="D16" s="22">
        <v>1</v>
      </c>
      <c r="E16" s="22">
        <v>1</v>
      </c>
      <c r="F16" s="22">
        <v>1</v>
      </c>
      <c r="G16" s="22">
        <v>1</v>
      </c>
      <c r="H16" s="22">
        <v>0</v>
      </c>
    </row>
    <row r="17" spans="1:8" x14ac:dyDescent="0.25">
      <c r="A17" s="22">
        <v>105</v>
      </c>
      <c r="B17" s="22">
        <v>0</v>
      </c>
      <c r="C17" s="22">
        <v>1</v>
      </c>
      <c r="D17" s="22">
        <v>0</v>
      </c>
      <c r="E17" s="22">
        <v>-1</v>
      </c>
      <c r="F17" s="22">
        <v>1</v>
      </c>
      <c r="G17" s="22">
        <v>0</v>
      </c>
      <c r="H17" s="22">
        <v>1</v>
      </c>
    </row>
    <row r="18" spans="1:8" x14ac:dyDescent="0.25">
      <c r="A18" s="22">
        <v>106</v>
      </c>
      <c r="B18" s="22">
        <v>1</v>
      </c>
      <c r="C18" s="22">
        <v>1</v>
      </c>
      <c r="D18" s="22">
        <v>0</v>
      </c>
      <c r="E18" s="22">
        <v>-1</v>
      </c>
      <c r="F18" s="22">
        <v>1</v>
      </c>
      <c r="G18" s="22">
        <v>0</v>
      </c>
      <c r="H18" s="22">
        <v>1</v>
      </c>
    </row>
    <row r="19" spans="1:8" x14ac:dyDescent="0.25">
      <c r="A19" s="22">
        <v>106</v>
      </c>
      <c r="B19" s="22">
        <v>0</v>
      </c>
      <c r="C19" s="22">
        <v>0</v>
      </c>
      <c r="D19" s="22">
        <v>1</v>
      </c>
      <c r="E19" s="22">
        <v>1</v>
      </c>
      <c r="F19" s="22">
        <v>-1</v>
      </c>
      <c r="G19" s="22">
        <v>0</v>
      </c>
      <c r="H19" s="22">
        <v>1</v>
      </c>
    </row>
    <row r="20" spans="1:8" x14ac:dyDescent="0.25">
      <c r="A20" s="22">
        <v>106</v>
      </c>
      <c r="B20" s="22">
        <v>0</v>
      </c>
      <c r="C20" s="22">
        <v>0</v>
      </c>
      <c r="D20" s="22">
        <v>1</v>
      </c>
      <c r="E20" s="22">
        <v>-1</v>
      </c>
      <c r="F20" s="22">
        <v>1</v>
      </c>
      <c r="G20" s="22">
        <v>-1</v>
      </c>
      <c r="H20" s="22">
        <v>-1</v>
      </c>
    </row>
    <row r="21" spans="1:8" x14ac:dyDescent="0.25">
      <c r="A21" s="22">
        <v>107</v>
      </c>
      <c r="B21" s="22">
        <v>1</v>
      </c>
      <c r="C21" s="22">
        <v>-1</v>
      </c>
      <c r="D21" s="22">
        <v>-1</v>
      </c>
      <c r="E21" s="22">
        <v>-1</v>
      </c>
      <c r="F21" s="22">
        <v>1</v>
      </c>
      <c r="G21" s="22">
        <v>0</v>
      </c>
      <c r="H21" s="22">
        <v>1</v>
      </c>
    </row>
    <row r="22" spans="1:8" x14ac:dyDescent="0.25">
      <c r="A22" s="22">
        <v>107</v>
      </c>
      <c r="B22" s="22">
        <v>0</v>
      </c>
      <c r="C22" s="22">
        <v>0</v>
      </c>
      <c r="D22" s="22">
        <v>1</v>
      </c>
      <c r="E22" s="22">
        <v>-1</v>
      </c>
      <c r="F22" s="22">
        <v>-1</v>
      </c>
      <c r="G22" s="22">
        <v>-1</v>
      </c>
      <c r="H22" s="22">
        <v>-1</v>
      </c>
    </row>
    <row r="23" spans="1:8" x14ac:dyDescent="0.25">
      <c r="A23" s="22">
        <v>107</v>
      </c>
      <c r="B23" s="22">
        <v>0</v>
      </c>
      <c r="C23" s="22">
        <v>-1</v>
      </c>
      <c r="D23" s="22">
        <v>-1</v>
      </c>
      <c r="E23" s="22">
        <v>1</v>
      </c>
      <c r="F23" s="22">
        <v>1</v>
      </c>
      <c r="G23" s="22">
        <v>-1</v>
      </c>
      <c r="H23" s="22">
        <v>-1</v>
      </c>
    </row>
    <row r="24" spans="1:8" x14ac:dyDescent="0.25">
      <c r="A24" s="22">
        <v>108</v>
      </c>
      <c r="B24" s="22">
        <v>1</v>
      </c>
      <c r="C24" s="22">
        <v>1</v>
      </c>
      <c r="D24" s="22">
        <v>0</v>
      </c>
      <c r="E24" s="22">
        <v>1</v>
      </c>
      <c r="F24" s="22">
        <v>1</v>
      </c>
      <c r="G24" s="22">
        <v>1</v>
      </c>
      <c r="H24" s="22">
        <v>0</v>
      </c>
    </row>
    <row r="25" spans="1:8" x14ac:dyDescent="0.25">
      <c r="A25" s="22">
        <v>108</v>
      </c>
      <c r="B25" s="22">
        <v>0</v>
      </c>
      <c r="C25" s="22">
        <v>1</v>
      </c>
      <c r="D25" s="22">
        <v>0</v>
      </c>
      <c r="E25" s="22">
        <v>-1</v>
      </c>
      <c r="F25" s="22">
        <v>1</v>
      </c>
      <c r="G25" s="22">
        <v>0</v>
      </c>
      <c r="H25" s="22">
        <v>1</v>
      </c>
    </row>
    <row r="26" spans="1:8" x14ac:dyDescent="0.25">
      <c r="A26" s="22">
        <v>108</v>
      </c>
      <c r="B26" s="22">
        <v>0</v>
      </c>
      <c r="C26" s="22">
        <v>-1</v>
      </c>
      <c r="D26" s="22">
        <v>-1</v>
      </c>
      <c r="E26" s="22">
        <v>-1</v>
      </c>
      <c r="F26" s="22">
        <v>-1</v>
      </c>
      <c r="G26" s="22">
        <v>1</v>
      </c>
      <c r="H26" s="22">
        <v>0</v>
      </c>
    </row>
    <row r="27" spans="1:8" x14ac:dyDescent="0.25">
      <c r="A27" s="22">
        <v>109</v>
      </c>
      <c r="B27" s="22">
        <v>0</v>
      </c>
      <c r="C27" s="22">
        <v>0</v>
      </c>
      <c r="D27" s="22">
        <v>1</v>
      </c>
      <c r="E27" s="22">
        <v>-1</v>
      </c>
      <c r="F27" s="22">
        <v>-1</v>
      </c>
      <c r="G27" s="22">
        <v>-1</v>
      </c>
      <c r="H27" s="22">
        <v>-1</v>
      </c>
    </row>
    <row r="28" spans="1:8" x14ac:dyDescent="0.25">
      <c r="A28" s="22">
        <v>109</v>
      </c>
      <c r="B28" s="22">
        <v>0</v>
      </c>
      <c r="C28" s="22">
        <v>0</v>
      </c>
      <c r="D28" s="22">
        <v>1</v>
      </c>
      <c r="E28" s="22">
        <v>-1</v>
      </c>
      <c r="F28" s="22">
        <v>1</v>
      </c>
      <c r="G28" s="22">
        <v>-1</v>
      </c>
      <c r="H28" s="22">
        <v>-1</v>
      </c>
    </row>
    <row r="29" spans="1:8" x14ac:dyDescent="0.25">
      <c r="A29" s="22">
        <v>109</v>
      </c>
      <c r="B29" s="22">
        <v>1</v>
      </c>
      <c r="C29" s="22">
        <v>0</v>
      </c>
      <c r="D29" s="22">
        <v>1</v>
      </c>
      <c r="E29" s="22">
        <v>1</v>
      </c>
      <c r="F29" s="22">
        <v>-1</v>
      </c>
      <c r="G29" s="22">
        <v>0</v>
      </c>
      <c r="H29" s="22">
        <v>1</v>
      </c>
    </row>
    <row r="30" spans="1:8" x14ac:dyDescent="0.25">
      <c r="A30" s="22">
        <v>110</v>
      </c>
      <c r="B30" s="22">
        <v>0</v>
      </c>
      <c r="C30" s="22">
        <v>0</v>
      </c>
      <c r="D30" s="22">
        <v>1</v>
      </c>
      <c r="E30" s="22">
        <v>1</v>
      </c>
      <c r="F30" s="22">
        <v>1</v>
      </c>
      <c r="G30" s="22">
        <v>1</v>
      </c>
      <c r="H30" s="22">
        <v>0</v>
      </c>
    </row>
    <row r="31" spans="1:8" x14ac:dyDescent="0.25">
      <c r="A31" s="22">
        <v>110</v>
      </c>
      <c r="B31" s="22">
        <v>1</v>
      </c>
      <c r="C31" s="22">
        <v>-1</v>
      </c>
      <c r="D31" s="22">
        <v>-1</v>
      </c>
      <c r="E31" s="22">
        <v>-1</v>
      </c>
      <c r="F31" s="22">
        <v>-1</v>
      </c>
      <c r="G31" s="22">
        <v>1</v>
      </c>
      <c r="H31" s="22">
        <v>0</v>
      </c>
    </row>
    <row r="32" spans="1:8" x14ac:dyDescent="0.25">
      <c r="A32" s="22">
        <v>110</v>
      </c>
      <c r="B32" s="22">
        <v>0</v>
      </c>
      <c r="C32" s="22">
        <v>-1</v>
      </c>
      <c r="D32" s="22">
        <v>-1</v>
      </c>
      <c r="E32" s="22">
        <v>-1</v>
      </c>
      <c r="F32" s="22">
        <v>1</v>
      </c>
      <c r="G32" s="22">
        <v>0</v>
      </c>
      <c r="H32" s="22">
        <v>1</v>
      </c>
    </row>
    <row r="33" spans="1:8" x14ac:dyDescent="0.25">
      <c r="A33" s="22">
        <v>111</v>
      </c>
      <c r="B33" s="22">
        <v>0</v>
      </c>
      <c r="C33" s="22">
        <v>-1</v>
      </c>
      <c r="D33" s="22">
        <v>-1</v>
      </c>
      <c r="E33" s="22">
        <v>1</v>
      </c>
      <c r="F33" s="22">
        <v>-1</v>
      </c>
      <c r="G33" s="22">
        <v>0</v>
      </c>
      <c r="H33" s="22">
        <v>1</v>
      </c>
    </row>
    <row r="34" spans="1:8" x14ac:dyDescent="0.25">
      <c r="A34" s="22">
        <v>111</v>
      </c>
      <c r="B34" s="22">
        <v>1</v>
      </c>
      <c r="C34" s="22">
        <v>-1</v>
      </c>
      <c r="D34" s="22">
        <v>-1</v>
      </c>
      <c r="E34" s="22">
        <v>-1</v>
      </c>
      <c r="F34" s="22">
        <v>1</v>
      </c>
      <c r="G34" s="22">
        <v>0</v>
      </c>
      <c r="H34" s="22">
        <v>1</v>
      </c>
    </row>
    <row r="35" spans="1:8" x14ac:dyDescent="0.25">
      <c r="A35" s="22">
        <v>111</v>
      </c>
      <c r="B35" s="22">
        <v>0</v>
      </c>
      <c r="C35" s="22">
        <v>0</v>
      </c>
      <c r="D35" s="22">
        <v>1</v>
      </c>
      <c r="E35" s="22">
        <v>-1</v>
      </c>
      <c r="F35" s="22">
        <v>-1</v>
      </c>
      <c r="G35" s="22">
        <v>-1</v>
      </c>
      <c r="H35" s="22">
        <v>-1</v>
      </c>
    </row>
    <row r="36" spans="1:8" x14ac:dyDescent="0.25">
      <c r="A36" s="22">
        <v>112</v>
      </c>
      <c r="B36" s="22">
        <v>0</v>
      </c>
      <c r="C36" s="22">
        <v>-1</v>
      </c>
      <c r="D36" s="22">
        <v>-1</v>
      </c>
      <c r="E36" s="22">
        <v>1</v>
      </c>
      <c r="F36" s="22">
        <v>1</v>
      </c>
      <c r="G36" s="22">
        <v>-1</v>
      </c>
      <c r="H36" s="22">
        <v>-1</v>
      </c>
    </row>
    <row r="37" spans="1:8" x14ac:dyDescent="0.25">
      <c r="A37" s="22">
        <v>112</v>
      </c>
      <c r="B37" s="22">
        <v>1</v>
      </c>
      <c r="C37" s="22">
        <v>1</v>
      </c>
      <c r="D37" s="22">
        <v>0</v>
      </c>
      <c r="E37" s="22">
        <v>1</v>
      </c>
      <c r="F37" s="22">
        <v>1</v>
      </c>
      <c r="G37" s="22">
        <v>1</v>
      </c>
      <c r="H37" s="22">
        <v>0</v>
      </c>
    </row>
    <row r="38" spans="1:8" x14ac:dyDescent="0.25">
      <c r="A38" s="22">
        <v>112</v>
      </c>
      <c r="B38" s="22">
        <v>0</v>
      </c>
      <c r="C38" s="22">
        <v>-1</v>
      </c>
      <c r="D38" s="22">
        <v>-1</v>
      </c>
      <c r="E38" s="22">
        <v>1</v>
      </c>
      <c r="F38" s="22">
        <v>-1</v>
      </c>
      <c r="G38" s="22">
        <v>0</v>
      </c>
      <c r="H38" s="22">
        <v>1</v>
      </c>
    </row>
    <row r="39" spans="1:8" x14ac:dyDescent="0.25">
      <c r="A39" s="22">
        <v>201</v>
      </c>
      <c r="B39" s="22">
        <v>0</v>
      </c>
      <c r="C39" s="22">
        <v>0</v>
      </c>
      <c r="D39" s="22">
        <v>1</v>
      </c>
      <c r="E39" s="22">
        <v>-1</v>
      </c>
      <c r="F39" s="22">
        <v>1</v>
      </c>
      <c r="G39" s="22">
        <v>-1</v>
      </c>
      <c r="H39" s="22">
        <v>-1</v>
      </c>
    </row>
    <row r="40" spans="1:8" x14ac:dyDescent="0.25">
      <c r="A40" s="22">
        <v>201</v>
      </c>
      <c r="B40" s="22">
        <v>0</v>
      </c>
      <c r="C40" s="22">
        <v>1</v>
      </c>
      <c r="D40" s="22">
        <v>0</v>
      </c>
      <c r="E40" s="22">
        <v>1</v>
      </c>
      <c r="F40" s="22">
        <v>-1</v>
      </c>
      <c r="G40" s="22">
        <v>-1</v>
      </c>
      <c r="H40" s="22">
        <v>-1</v>
      </c>
    </row>
    <row r="41" spans="1:8" x14ac:dyDescent="0.25">
      <c r="A41" s="22">
        <v>201</v>
      </c>
      <c r="B41" s="22">
        <v>1</v>
      </c>
      <c r="C41" s="22">
        <v>0</v>
      </c>
      <c r="D41" s="22">
        <v>1</v>
      </c>
      <c r="E41" s="22">
        <v>1</v>
      </c>
      <c r="F41" s="22">
        <v>1</v>
      </c>
      <c r="G41" s="22">
        <v>1</v>
      </c>
      <c r="H41" s="22">
        <v>0</v>
      </c>
    </row>
    <row r="42" spans="1:8" x14ac:dyDescent="0.25">
      <c r="A42" s="22">
        <v>202</v>
      </c>
      <c r="B42" s="22">
        <v>0</v>
      </c>
      <c r="C42" s="22">
        <v>0</v>
      </c>
      <c r="D42" s="22">
        <v>1</v>
      </c>
      <c r="E42" s="22">
        <v>1</v>
      </c>
      <c r="F42" s="22">
        <v>-1</v>
      </c>
      <c r="G42" s="22">
        <v>0</v>
      </c>
      <c r="H42" s="22">
        <v>1</v>
      </c>
    </row>
    <row r="43" spans="1:8" x14ac:dyDescent="0.25">
      <c r="A43" s="22">
        <v>202</v>
      </c>
      <c r="B43" s="22">
        <v>0</v>
      </c>
      <c r="C43" s="22">
        <v>1</v>
      </c>
      <c r="D43" s="22">
        <v>0</v>
      </c>
      <c r="E43" s="22">
        <v>-1</v>
      </c>
      <c r="F43" s="22">
        <v>-1</v>
      </c>
      <c r="G43" s="22">
        <v>1</v>
      </c>
      <c r="H43" s="22">
        <v>0</v>
      </c>
    </row>
    <row r="44" spans="1:8" x14ac:dyDescent="0.25">
      <c r="A44" s="22">
        <v>202</v>
      </c>
      <c r="B44" s="22">
        <v>1</v>
      </c>
      <c r="C44" s="22">
        <v>1</v>
      </c>
      <c r="D44" s="22">
        <v>0</v>
      </c>
      <c r="E44" s="22">
        <v>1</v>
      </c>
      <c r="F44" s="22">
        <v>1</v>
      </c>
      <c r="G44" s="22">
        <v>1</v>
      </c>
      <c r="H44" s="22">
        <v>0</v>
      </c>
    </row>
    <row r="45" spans="1:8" x14ac:dyDescent="0.25">
      <c r="A45" s="22">
        <v>203</v>
      </c>
      <c r="B45" s="22">
        <v>1</v>
      </c>
      <c r="C45" s="22">
        <v>1</v>
      </c>
      <c r="D45" s="22">
        <v>0</v>
      </c>
      <c r="E45" s="22">
        <v>-1</v>
      </c>
      <c r="F45" s="22">
        <v>-1</v>
      </c>
      <c r="G45" s="22">
        <v>1</v>
      </c>
      <c r="H45" s="22">
        <v>0</v>
      </c>
    </row>
    <row r="46" spans="1:8" x14ac:dyDescent="0.25">
      <c r="A46" s="22">
        <v>203</v>
      </c>
      <c r="B46" s="22">
        <v>0</v>
      </c>
      <c r="C46" s="22">
        <v>-1</v>
      </c>
      <c r="D46" s="22">
        <v>-1</v>
      </c>
      <c r="E46" s="22">
        <v>1</v>
      </c>
      <c r="F46" s="22">
        <v>-1</v>
      </c>
      <c r="G46" s="22">
        <v>0</v>
      </c>
      <c r="H46" s="22">
        <v>1</v>
      </c>
    </row>
    <row r="47" spans="1:8" x14ac:dyDescent="0.25">
      <c r="A47" s="22">
        <v>203</v>
      </c>
      <c r="B47" s="22">
        <v>0</v>
      </c>
      <c r="C47" s="22">
        <v>1</v>
      </c>
      <c r="D47" s="22">
        <v>0</v>
      </c>
      <c r="E47" s="22">
        <v>1</v>
      </c>
      <c r="F47" s="22">
        <v>-1</v>
      </c>
      <c r="G47" s="22">
        <v>-1</v>
      </c>
      <c r="H47" s="22">
        <v>-1</v>
      </c>
    </row>
    <row r="48" spans="1:8" x14ac:dyDescent="0.25">
      <c r="A48" s="22">
        <v>204</v>
      </c>
      <c r="B48" s="22">
        <v>0</v>
      </c>
      <c r="C48" s="22">
        <v>1</v>
      </c>
      <c r="D48" s="22">
        <v>0</v>
      </c>
      <c r="E48" s="22">
        <v>1</v>
      </c>
      <c r="F48" s="22">
        <v>-1</v>
      </c>
      <c r="G48" s="22">
        <v>-1</v>
      </c>
      <c r="H48" s="22">
        <v>-1</v>
      </c>
    </row>
    <row r="49" spans="1:8" x14ac:dyDescent="0.25">
      <c r="A49" s="22">
        <v>204</v>
      </c>
      <c r="B49" s="22">
        <v>0</v>
      </c>
      <c r="C49" s="22">
        <v>-1</v>
      </c>
      <c r="D49" s="22">
        <v>-1</v>
      </c>
      <c r="E49" s="22">
        <v>1</v>
      </c>
      <c r="F49" s="22">
        <v>1</v>
      </c>
      <c r="G49" s="22">
        <v>-1</v>
      </c>
      <c r="H49" s="22">
        <v>-1</v>
      </c>
    </row>
    <row r="50" spans="1:8" x14ac:dyDescent="0.25">
      <c r="A50" s="22">
        <v>204</v>
      </c>
      <c r="B50" s="22">
        <v>1</v>
      </c>
      <c r="C50" s="22">
        <v>1</v>
      </c>
      <c r="D50" s="22">
        <v>0</v>
      </c>
      <c r="E50" s="22">
        <v>-1</v>
      </c>
      <c r="F50" s="22">
        <v>-1</v>
      </c>
      <c r="G50" s="22">
        <v>1</v>
      </c>
      <c r="H50" s="22">
        <v>0</v>
      </c>
    </row>
    <row r="51" spans="1:8" x14ac:dyDescent="0.25">
      <c r="A51" s="22">
        <v>205</v>
      </c>
      <c r="B51" s="22">
        <v>1</v>
      </c>
      <c r="C51" s="22">
        <v>-1</v>
      </c>
      <c r="D51" s="22">
        <v>-1</v>
      </c>
      <c r="E51" s="22">
        <v>-1</v>
      </c>
      <c r="F51" s="22">
        <v>-1</v>
      </c>
      <c r="G51" s="22">
        <v>1</v>
      </c>
      <c r="H51" s="22">
        <v>0</v>
      </c>
    </row>
    <row r="52" spans="1:8" x14ac:dyDescent="0.25">
      <c r="A52" s="22">
        <v>205</v>
      </c>
      <c r="B52" s="22">
        <v>0</v>
      </c>
      <c r="C52" s="22">
        <v>0</v>
      </c>
      <c r="D52" s="22">
        <v>1</v>
      </c>
      <c r="E52" s="22">
        <v>1</v>
      </c>
      <c r="F52" s="22">
        <v>1</v>
      </c>
      <c r="G52" s="22">
        <v>1</v>
      </c>
      <c r="H52" s="22">
        <v>0</v>
      </c>
    </row>
    <row r="53" spans="1:8" x14ac:dyDescent="0.25">
      <c r="A53" s="22">
        <v>205</v>
      </c>
      <c r="B53" s="22">
        <v>0</v>
      </c>
      <c r="C53" s="22">
        <v>1</v>
      </c>
      <c r="D53" s="22">
        <v>0</v>
      </c>
      <c r="E53" s="22">
        <v>-1</v>
      </c>
      <c r="F53" s="22">
        <v>1</v>
      </c>
      <c r="G53" s="22">
        <v>0</v>
      </c>
      <c r="H53" s="22">
        <v>1</v>
      </c>
    </row>
    <row r="54" spans="1:8" x14ac:dyDescent="0.25">
      <c r="A54" s="22">
        <v>206</v>
      </c>
      <c r="B54" s="22">
        <v>1</v>
      </c>
      <c r="C54" s="22">
        <v>1</v>
      </c>
      <c r="D54" s="22">
        <v>0</v>
      </c>
      <c r="E54" s="22">
        <v>-1</v>
      </c>
      <c r="F54" s="22">
        <v>1</v>
      </c>
      <c r="G54" s="22">
        <v>0</v>
      </c>
      <c r="H54" s="22">
        <v>1</v>
      </c>
    </row>
    <row r="55" spans="1:8" x14ac:dyDescent="0.25">
      <c r="A55" s="22">
        <v>206</v>
      </c>
      <c r="B55" s="22">
        <v>0</v>
      </c>
      <c r="C55" s="22">
        <v>0</v>
      </c>
      <c r="D55" s="22">
        <v>1</v>
      </c>
      <c r="E55" s="22">
        <v>1</v>
      </c>
      <c r="F55" s="22">
        <v>-1</v>
      </c>
      <c r="G55" s="22">
        <v>0</v>
      </c>
      <c r="H55" s="22">
        <v>1</v>
      </c>
    </row>
    <row r="56" spans="1:8" x14ac:dyDescent="0.25">
      <c r="A56" s="22">
        <v>206</v>
      </c>
      <c r="B56" s="22">
        <v>0</v>
      </c>
      <c r="C56" s="22">
        <v>0</v>
      </c>
      <c r="D56" s="22">
        <v>1</v>
      </c>
      <c r="E56" s="22">
        <v>-1</v>
      </c>
      <c r="F56" s="22">
        <v>1</v>
      </c>
      <c r="G56" s="22">
        <v>-1</v>
      </c>
      <c r="H56" s="22">
        <v>-1</v>
      </c>
    </row>
    <row r="57" spans="1:8" x14ac:dyDescent="0.25">
      <c r="A57" s="22">
        <v>207</v>
      </c>
      <c r="B57" s="22">
        <v>1</v>
      </c>
      <c r="C57" s="22">
        <v>-1</v>
      </c>
      <c r="D57" s="22">
        <v>-1</v>
      </c>
      <c r="E57" s="22">
        <v>-1</v>
      </c>
      <c r="F57" s="22">
        <v>1</v>
      </c>
      <c r="G57" s="22">
        <v>0</v>
      </c>
      <c r="H57" s="22">
        <v>1</v>
      </c>
    </row>
    <row r="58" spans="1:8" x14ac:dyDescent="0.25">
      <c r="A58" s="22">
        <v>207</v>
      </c>
      <c r="B58" s="22">
        <v>0</v>
      </c>
      <c r="C58" s="22">
        <v>0</v>
      </c>
      <c r="D58" s="22">
        <v>1</v>
      </c>
      <c r="E58" s="22">
        <v>-1</v>
      </c>
      <c r="F58" s="22">
        <v>-1</v>
      </c>
      <c r="G58" s="22">
        <v>-1</v>
      </c>
      <c r="H58" s="22">
        <v>-1</v>
      </c>
    </row>
    <row r="59" spans="1:8" x14ac:dyDescent="0.25">
      <c r="A59" s="22">
        <v>207</v>
      </c>
      <c r="B59" s="22">
        <v>0</v>
      </c>
      <c r="C59" s="22">
        <v>-1</v>
      </c>
      <c r="D59" s="22">
        <v>-1</v>
      </c>
      <c r="E59" s="22">
        <v>1</v>
      </c>
      <c r="F59" s="22">
        <v>1</v>
      </c>
      <c r="G59" s="22">
        <v>-1</v>
      </c>
      <c r="H59" s="22">
        <v>-1</v>
      </c>
    </row>
    <row r="60" spans="1:8" x14ac:dyDescent="0.25">
      <c r="A60" s="22">
        <v>208</v>
      </c>
      <c r="B60" s="22">
        <v>1</v>
      </c>
      <c r="C60" s="22">
        <v>1</v>
      </c>
      <c r="D60" s="22">
        <v>0</v>
      </c>
      <c r="E60" s="22">
        <v>1</v>
      </c>
      <c r="F60" s="22">
        <v>1</v>
      </c>
      <c r="G60" s="22">
        <v>1</v>
      </c>
      <c r="H60" s="22">
        <v>0</v>
      </c>
    </row>
    <row r="61" spans="1:8" x14ac:dyDescent="0.25">
      <c r="A61" s="22">
        <v>208</v>
      </c>
      <c r="B61" s="22">
        <v>0</v>
      </c>
      <c r="C61" s="22">
        <v>1</v>
      </c>
      <c r="D61" s="22">
        <v>0</v>
      </c>
      <c r="E61" s="22">
        <v>-1</v>
      </c>
      <c r="F61" s="22">
        <v>1</v>
      </c>
      <c r="G61" s="22">
        <v>0</v>
      </c>
      <c r="H61" s="22">
        <v>1</v>
      </c>
    </row>
    <row r="62" spans="1:8" x14ac:dyDescent="0.25">
      <c r="A62" s="22">
        <v>208</v>
      </c>
      <c r="B62" s="22">
        <v>0</v>
      </c>
      <c r="C62" s="22">
        <v>-1</v>
      </c>
      <c r="D62" s="22">
        <v>-1</v>
      </c>
      <c r="E62" s="22">
        <v>-1</v>
      </c>
      <c r="F62" s="22">
        <v>-1</v>
      </c>
      <c r="G62" s="22">
        <v>1</v>
      </c>
      <c r="H62" s="22">
        <v>0</v>
      </c>
    </row>
    <row r="63" spans="1:8" x14ac:dyDescent="0.25">
      <c r="A63" s="22">
        <v>209</v>
      </c>
      <c r="B63" s="22">
        <v>0</v>
      </c>
      <c r="C63" s="22">
        <v>0</v>
      </c>
      <c r="D63" s="22">
        <v>1</v>
      </c>
      <c r="E63" s="22">
        <v>-1</v>
      </c>
      <c r="F63" s="22">
        <v>-1</v>
      </c>
      <c r="G63" s="22">
        <v>-1</v>
      </c>
      <c r="H63" s="22">
        <v>-1</v>
      </c>
    </row>
    <row r="64" spans="1:8" x14ac:dyDescent="0.25">
      <c r="A64" s="22">
        <v>209</v>
      </c>
      <c r="B64" s="22">
        <v>0</v>
      </c>
      <c r="C64" s="22">
        <v>0</v>
      </c>
      <c r="D64" s="22">
        <v>1</v>
      </c>
      <c r="E64" s="22">
        <v>-1</v>
      </c>
      <c r="F64" s="22">
        <v>1</v>
      </c>
      <c r="G64" s="22">
        <v>-1</v>
      </c>
      <c r="H64" s="22">
        <v>-1</v>
      </c>
    </row>
    <row r="65" spans="1:8" x14ac:dyDescent="0.25">
      <c r="A65" s="22">
        <v>209</v>
      </c>
      <c r="B65" s="22">
        <v>1</v>
      </c>
      <c r="C65" s="22">
        <v>0</v>
      </c>
      <c r="D65" s="22">
        <v>1</v>
      </c>
      <c r="E65" s="22">
        <v>1</v>
      </c>
      <c r="F65" s="22">
        <v>-1</v>
      </c>
      <c r="G65" s="22">
        <v>0</v>
      </c>
      <c r="H65" s="22">
        <v>1</v>
      </c>
    </row>
    <row r="66" spans="1:8" x14ac:dyDescent="0.25">
      <c r="A66" s="22">
        <v>210</v>
      </c>
      <c r="B66" s="22">
        <v>0</v>
      </c>
      <c r="C66" s="22">
        <v>0</v>
      </c>
      <c r="D66" s="22">
        <v>1</v>
      </c>
      <c r="E66" s="22">
        <v>1</v>
      </c>
      <c r="F66" s="22">
        <v>1</v>
      </c>
      <c r="G66" s="22">
        <v>1</v>
      </c>
      <c r="H66" s="22">
        <v>0</v>
      </c>
    </row>
    <row r="67" spans="1:8" x14ac:dyDescent="0.25">
      <c r="A67" s="22">
        <v>210</v>
      </c>
      <c r="B67" s="22">
        <v>1</v>
      </c>
      <c r="C67" s="22">
        <v>-1</v>
      </c>
      <c r="D67" s="22">
        <v>-1</v>
      </c>
      <c r="E67" s="22">
        <v>-1</v>
      </c>
      <c r="F67" s="22">
        <v>-1</v>
      </c>
      <c r="G67" s="22">
        <v>1</v>
      </c>
      <c r="H67" s="22">
        <v>0</v>
      </c>
    </row>
    <row r="68" spans="1:8" x14ac:dyDescent="0.25">
      <c r="A68" s="22">
        <v>210</v>
      </c>
      <c r="B68" s="22">
        <v>0</v>
      </c>
      <c r="C68" s="22">
        <v>-1</v>
      </c>
      <c r="D68" s="22">
        <v>-1</v>
      </c>
      <c r="E68" s="22">
        <v>-1</v>
      </c>
      <c r="F68" s="22">
        <v>1</v>
      </c>
      <c r="G68" s="22">
        <v>0</v>
      </c>
      <c r="H68" s="22">
        <v>1</v>
      </c>
    </row>
    <row r="69" spans="1:8" x14ac:dyDescent="0.25">
      <c r="A69" s="22">
        <v>211</v>
      </c>
      <c r="B69" s="22">
        <v>0</v>
      </c>
      <c r="C69" s="22">
        <v>-1</v>
      </c>
      <c r="D69" s="22">
        <v>-1</v>
      </c>
      <c r="E69" s="22">
        <v>1</v>
      </c>
      <c r="F69" s="22">
        <v>-1</v>
      </c>
      <c r="G69" s="22">
        <v>0</v>
      </c>
      <c r="H69" s="22">
        <v>1</v>
      </c>
    </row>
    <row r="70" spans="1:8" x14ac:dyDescent="0.25">
      <c r="A70" s="22">
        <v>211</v>
      </c>
      <c r="B70" s="22">
        <v>1</v>
      </c>
      <c r="C70" s="22">
        <v>-1</v>
      </c>
      <c r="D70" s="22">
        <v>-1</v>
      </c>
      <c r="E70" s="22">
        <v>-1</v>
      </c>
      <c r="F70" s="22">
        <v>1</v>
      </c>
      <c r="G70" s="22">
        <v>0</v>
      </c>
      <c r="H70" s="22">
        <v>1</v>
      </c>
    </row>
    <row r="71" spans="1:8" x14ac:dyDescent="0.25">
      <c r="A71" s="22">
        <v>211</v>
      </c>
      <c r="B71" s="22">
        <v>0</v>
      </c>
      <c r="C71" s="22">
        <v>0</v>
      </c>
      <c r="D71" s="22">
        <v>1</v>
      </c>
      <c r="E71" s="22">
        <v>-1</v>
      </c>
      <c r="F71" s="22">
        <v>-1</v>
      </c>
      <c r="G71" s="22">
        <v>-1</v>
      </c>
      <c r="H71" s="22">
        <v>-1</v>
      </c>
    </row>
    <row r="72" spans="1:8" x14ac:dyDescent="0.25">
      <c r="A72" s="22">
        <v>212</v>
      </c>
      <c r="B72" s="22">
        <v>0</v>
      </c>
      <c r="C72" s="22">
        <v>-1</v>
      </c>
      <c r="D72" s="22">
        <v>-1</v>
      </c>
      <c r="E72" s="22">
        <v>1</v>
      </c>
      <c r="F72" s="22">
        <v>1</v>
      </c>
      <c r="G72" s="22">
        <v>-1</v>
      </c>
      <c r="H72" s="22">
        <v>-1</v>
      </c>
    </row>
    <row r="73" spans="1:8" x14ac:dyDescent="0.25">
      <c r="A73" s="22">
        <v>212</v>
      </c>
      <c r="B73" s="22">
        <v>1</v>
      </c>
      <c r="C73" s="22">
        <v>1</v>
      </c>
      <c r="D73" s="22">
        <v>0</v>
      </c>
      <c r="E73" s="22">
        <v>1</v>
      </c>
      <c r="F73" s="22">
        <v>1</v>
      </c>
      <c r="G73" s="22">
        <v>1</v>
      </c>
      <c r="H73" s="22">
        <v>0</v>
      </c>
    </row>
    <row r="74" spans="1:8" x14ac:dyDescent="0.25">
      <c r="A74" s="22">
        <v>212</v>
      </c>
      <c r="B74" s="22">
        <v>0</v>
      </c>
      <c r="C74" s="22">
        <v>-1</v>
      </c>
      <c r="D74" s="22">
        <v>-1</v>
      </c>
      <c r="E74" s="22">
        <v>1</v>
      </c>
      <c r="F74" s="22">
        <v>-1</v>
      </c>
      <c r="G74" s="22">
        <v>0</v>
      </c>
      <c r="H74" s="22">
        <v>1</v>
      </c>
    </row>
    <row r="75" spans="1:8" x14ac:dyDescent="0.25">
      <c r="A75" s="22">
        <v>301</v>
      </c>
      <c r="B75" s="22">
        <v>0</v>
      </c>
      <c r="C75" s="22">
        <v>0</v>
      </c>
      <c r="D75" s="22">
        <v>1</v>
      </c>
      <c r="E75" s="22">
        <v>-1</v>
      </c>
      <c r="F75" s="22">
        <v>1</v>
      </c>
      <c r="G75" s="22">
        <v>-1</v>
      </c>
      <c r="H75" s="22">
        <v>-1</v>
      </c>
    </row>
    <row r="76" spans="1:8" x14ac:dyDescent="0.25">
      <c r="A76" s="22">
        <v>301</v>
      </c>
      <c r="B76" s="22">
        <v>0</v>
      </c>
      <c r="C76" s="22">
        <v>1</v>
      </c>
      <c r="D76" s="22">
        <v>0</v>
      </c>
      <c r="E76" s="22">
        <v>1</v>
      </c>
      <c r="F76" s="22">
        <v>-1</v>
      </c>
      <c r="G76" s="22">
        <v>-1</v>
      </c>
      <c r="H76" s="22">
        <v>-1</v>
      </c>
    </row>
    <row r="77" spans="1:8" x14ac:dyDescent="0.25">
      <c r="A77" s="22">
        <v>301</v>
      </c>
      <c r="B77" s="22">
        <v>1</v>
      </c>
      <c r="C77" s="22">
        <v>0</v>
      </c>
      <c r="D77" s="22">
        <v>1</v>
      </c>
      <c r="E77" s="22">
        <v>1</v>
      </c>
      <c r="F77" s="22">
        <v>1</v>
      </c>
      <c r="G77" s="22">
        <v>1</v>
      </c>
      <c r="H77" s="22">
        <v>0</v>
      </c>
    </row>
    <row r="78" spans="1:8" x14ac:dyDescent="0.25">
      <c r="A78" s="22">
        <v>302</v>
      </c>
      <c r="B78" s="22">
        <v>0</v>
      </c>
      <c r="C78" s="22">
        <v>0</v>
      </c>
      <c r="D78" s="22">
        <v>1</v>
      </c>
      <c r="E78" s="22">
        <v>1</v>
      </c>
      <c r="F78" s="22">
        <v>-1</v>
      </c>
      <c r="G78" s="22">
        <v>0</v>
      </c>
      <c r="H78" s="22">
        <v>1</v>
      </c>
    </row>
    <row r="79" spans="1:8" x14ac:dyDescent="0.25">
      <c r="A79" s="22">
        <v>302</v>
      </c>
      <c r="B79" s="22">
        <v>0</v>
      </c>
      <c r="C79" s="22">
        <v>1</v>
      </c>
      <c r="D79" s="22">
        <v>0</v>
      </c>
      <c r="E79" s="22">
        <v>-1</v>
      </c>
      <c r="F79" s="22">
        <v>-1</v>
      </c>
      <c r="G79" s="22">
        <v>1</v>
      </c>
      <c r="H79" s="22">
        <v>0</v>
      </c>
    </row>
    <row r="80" spans="1:8" x14ac:dyDescent="0.25">
      <c r="A80" s="22">
        <v>302</v>
      </c>
      <c r="B80" s="22">
        <v>1</v>
      </c>
      <c r="C80" s="22">
        <v>1</v>
      </c>
      <c r="D80" s="22">
        <v>0</v>
      </c>
      <c r="E80" s="22">
        <v>1</v>
      </c>
      <c r="F80" s="22">
        <v>1</v>
      </c>
      <c r="G80" s="22">
        <v>1</v>
      </c>
      <c r="H80" s="22">
        <v>0</v>
      </c>
    </row>
    <row r="81" spans="1:8" x14ac:dyDescent="0.25">
      <c r="A81" s="22">
        <v>303</v>
      </c>
      <c r="B81" s="22">
        <v>1</v>
      </c>
      <c r="C81" s="22">
        <v>1</v>
      </c>
      <c r="D81" s="22">
        <v>0</v>
      </c>
      <c r="E81" s="22">
        <v>-1</v>
      </c>
      <c r="F81" s="22">
        <v>-1</v>
      </c>
      <c r="G81" s="22">
        <v>1</v>
      </c>
      <c r="H81" s="22">
        <v>0</v>
      </c>
    </row>
    <row r="82" spans="1:8" x14ac:dyDescent="0.25">
      <c r="A82" s="22">
        <v>303</v>
      </c>
      <c r="B82" s="22">
        <v>0</v>
      </c>
      <c r="C82" s="22">
        <v>-1</v>
      </c>
      <c r="D82" s="22">
        <v>-1</v>
      </c>
      <c r="E82" s="22">
        <v>1</v>
      </c>
      <c r="F82" s="22">
        <v>-1</v>
      </c>
      <c r="G82" s="22">
        <v>0</v>
      </c>
      <c r="H82" s="22">
        <v>1</v>
      </c>
    </row>
    <row r="83" spans="1:8" x14ac:dyDescent="0.25">
      <c r="A83" s="22">
        <v>303</v>
      </c>
      <c r="B83" s="22">
        <v>0</v>
      </c>
      <c r="C83" s="22">
        <v>1</v>
      </c>
      <c r="D83" s="22">
        <v>0</v>
      </c>
      <c r="E83" s="22">
        <v>1</v>
      </c>
      <c r="F83" s="22">
        <v>-1</v>
      </c>
      <c r="G83" s="22">
        <v>-1</v>
      </c>
      <c r="H83" s="22">
        <v>-1</v>
      </c>
    </row>
    <row r="84" spans="1:8" x14ac:dyDescent="0.25">
      <c r="A84" s="22">
        <v>304</v>
      </c>
      <c r="B84" s="22">
        <v>0</v>
      </c>
      <c r="C84" s="22">
        <v>1</v>
      </c>
      <c r="D84" s="22">
        <v>0</v>
      </c>
      <c r="E84" s="22">
        <v>1</v>
      </c>
      <c r="F84" s="22">
        <v>-1</v>
      </c>
      <c r="G84" s="22">
        <v>-1</v>
      </c>
      <c r="H84" s="22">
        <v>-1</v>
      </c>
    </row>
    <row r="85" spans="1:8" x14ac:dyDescent="0.25">
      <c r="A85" s="22">
        <v>304</v>
      </c>
      <c r="B85" s="22">
        <v>0</v>
      </c>
      <c r="C85" s="22">
        <v>-1</v>
      </c>
      <c r="D85" s="22">
        <v>-1</v>
      </c>
      <c r="E85" s="22">
        <v>1</v>
      </c>
      <c r="F85" s="22">
        <v>1</v>
      </c>
      <c r="G85" s="22">
        <v>-1</v>
      </c>
      <c r="H85" s="22">
        <v>-1</v>
      </c>
    </row>
    <row r="86" spans="1:8" x14ac:dyDescent="0.25">
      <c r="A86" s="22">
        <v>304</v>
      </c>
      <c r="B86" s="22">
        <v>1</v>
      </c>
      <c r="C86" s="22">
        <v>1</v>
      </c>
      <c r="D86" s="22">
        <v>0</v>
      </c>
      <c r="E86" s="22">
        <v>-1</v>
      </c>
      <c r="F86" s="22">
        <v>-1</v>
      </c>
      <c r="G86" s="22">
        <v>1</v>
      </c>
      <c r="H86" s="22">
        <v>0</v>
      </c>
    </row>
    <row r="87" spans="1:8" x14ac:dyDescent="0.25">
      <c r="A87" s="22">
        <v>305</v>
      </c>
      <c r="B87" s="22">
        <v>1</v>
      </c>
      <c r="C87" s="22">
        <v>-1</v>
      </c>
      <c r="D87" s="22">
        <v>-1</v>
      </c>
      <c r="E87" s="22">
        <v>-1</v>
      </c>
      <c r="F87" s="22">
        <v>-1</v>
      </c>
      <c r="G87" s="22">
        <v>1</v>
      </c>
      <c r="H87" s="22">
        <v>0</v>
      </c>
    </row>
    <row r="88" spans="1:8" x14ac:dyDescent="0.25">
      <c r="A88" s="22">
        <v>305</v>
      </c>
      <c r="B88" s="22">
        <v>0</v>
      </c>
      <c r="C88" s="22">
        <v>0</v>
      </c>
      <c r="D88" s="22">
        <v>1</v>
      </c>
      <c r="E88" s="22">
        <v>1</v>
      </c>
      <c r="F88" s="22">
        <v>1</v>
      </c>
      <c r="G88" s="22">
        <v>1</v>
      </c>
      <c r="H88" s="22">
        <v>0</v>
      </c>
    </row>
    <row r="89" spans="1:8" x14ac:dyDescent="0.25">
      <c r="A89" s="22">
        <v>305</v>
      </c>
      <c r="B89" s="22">
        <v>0</v>
      </c>
      <c r="C89" s="22">
        <v>1</v>
      </c>
      <c r="D89" s="22">
        <v>0</v>
      </c>
      <c r="E89" s="22">
        <v>-1</v>
      </c>
      <c r="F89" s="22">
        <v>1</v>
      </c>
      <c r="G89" s="22">
        <v>0</v>
      </c>
      <c r="H89" s="22">
        <v>1</v>
      </c>
    </row>
    <row r="90" spans="1:8" x14ac:dyDescent="0.25">
      <c r="A90" s="22">
        <v>306</v>
      </c>
      <c r="B90" s="22">
        <v>1</v>
      </c>
      <c r="C90" s="22">
        <v>1</v>
      </c>
      <c r="D90" s="22">
        <v>0</v>
      </c>
      <c r="E90" s="22">
        <v>-1</v>
      </c>
      <c r="F90" s="22">
        <v>1</v>
      </c>
      <c r="G90" s="22">
        <v>0</v>
      </c>
      <c r="H90" s="22">
        <v>1</v>
      </c>
    </row>
    <row r="91" spans="1:8" x14ac:dyDescent="0.25">
      <c r="A91" s="22">
        <v>306</v>
      </c>
      <c r="B91" s="22">
        <v>0</v>
      </c>
      <c r="C91" s="22">
        <v>0</v>
      </c>
      <c r="D91" s="22">
        <v>1</v>
      </c>
      <c r="E91" s="22">
        <v>1</v>
      </c>
      <c r="F91" s="22">
        <v>-1</v>
      </c>
      <c r="G91" s="22">
        <v>0</v>
      </c>
      <c r="H91" s="22">
        <v>1</v>
      </c>
    </row>
    <row r="92" spans="1:8" x14ac:dyDescent="0.25">
      <c r="A92" s="22">
        <v>306</v>
      </c>
      <c r="B92" s="22">
        <v>0</v>
      </c>
      <c r="C92" s="22">
        <v>0</v>
      </c>
      <c r="D92" s="22">
        <v>1</v>
      </c>
      <c r="E92" s="22">
        <v>-1</v>
      </c>
      <c r="F92" s="22">
        <v>1</v>
      </c>
      <c r="G92" s="22">
        <v>-1</v>
      </c>
      <c r="H92" s="22">
        <v>-1</v>
      </c>
    </row>
    <row r="93" spans="1:8" x14ac:dyDescent="0.25">
      <c r="A93" s="22">
        <v>307</v>
      </c>
      <c r="B93" s="22">
        <v>1</v>
      </c>
      <c r="C93" s="22">
        <v>-1</v>
      </c>
      <c r="D93" s="22">
        <v>-1</v>
      </c>
      <c r="E93" s="22">
        <v>-1</v>
      </c>
      <c r="F93" s="22">
        <v>1</v>
      </c>
      <c r="G93" s="22">
        <v>0</v>
      </c>
      <c r="H93" s="22">
        <v>1</v>
      </c>
    </row>
    <row r="94" spans="1:8" x14ac:dyDescent="0.25">
      <c r="A94" s="22">
        <v>307</v>
      </c>
      <c r="B94" s="22">
        <v>0</v>
      </c>
      <c r="C94" s="22">
        <v>0</v>
      </c>
      <c r="D94" s="22">
        <v>1</v>
      </c>
      <c r="E94" s="22">
        <v>-1</v>
      </c>
      <c r="F94" s="22">
        <v>-1</v>
      </c>
      <c r="G94" s="22">
        <v>-1</v>
      </c>
      <c r="H94" s="22">
        <v>-1</v>
      </c>
    </row>
    <row r="95" spans="1:8" x14ac:dyDescent="0.25">
      <c r="A95" s="22">
        <v>307</v>
      </c>
      <c r="B95" s="22">
        <v>0</v>
      </c>
      <c r="C95" s="22">
        <v>-1</v>
      </c>
      <c r="D95" s="22">
        <v>-1</v>
      </c>
      <c r="E95" s="22">
        <v>1</v>
      </c>
      <c r="F95" s="22">
        <v>1</v>
      </c>
      <c r="G95" s="22">
        <v>-1</v>
      </c>
      <c r="H95" s="22">
        <v>-1</v>
      </c>
    </row>
    <row r="96" spans="1:8" x14ac:dyDescent="0.25">
      <c r="A96" s="22">
        <v>308</v>
      </c>
      <c r="B96" s="22">
        <v>1</v>
      </c>
      <c r="C96" s="22">
        <v>1</v>
      </c>
      <c r="D96" s="22">
        <v>0</v>
      </c>
      <c r="E96" s="22">
        <v>1</v>
      </c>
      <c r="F96" s="22">
        <v>1</v>
      </c>
      <c r="G96" s="22">
        <v>1</v>
      </c>
      <c r="H96" s="22">
        <v>0</v>
      </c>
    </row>
    <row r="97" spans="1:8" x14ac:dyDescent="0.25">
      <c r="A97" s="22">
        <v>308</v>
      </c>
      <c r="B97" s="22">
        <v>0</v>
      </c>
      <c r="C97" s="22">
        <v>1</v>
      </c>
      <c r="D97" s="22">
        <v>0</v>
      </c>
      <c r="E97" s="22">
        <v>-1</v>
      </c>
      <c r="F97" s="22">
        <v>1</v>
      </c>
      <c r="G97" s="22">
        <v>0</v>
      </c>
      <c r="H97" s="22">
        <v>1</v>
      </c>
    </row>
    <row r="98" spans="1:8" x14ac:dyDescent="0.25">
      <c r="A98" s="22">
        <v>308</v>
      </c>
      <c r="B98" s="22">
        <v>0</v>
      </c>
      <c r="C98" s="22">
        <v>-1</v>
      </c>
      <c r="D98" s="22">
        <v>-1</v>
      </c>
      <c r="E98" s="22">
        <v>-1</v>
      </c>
      <c r="F98" s="22">
        <v>-1</v>
      </c>
      <c r="G98" s="22">
        <v>1</v>
      </c>
      <c r="H98" s="22">
        <v>0</v>
      </c>
    </row>
    <row r="99" spans="1:8" x14ac:dyDescent="0.25">
      <c r="A99" s="22">
        <v>309</v>
      </c>
      <c r="B99" s="22">
        <v>0</v>
      </c>
      <c r="C99" s="22">
        <v>0</v>
      </c>
      <c r="D99" s="22">
        <v>1</v>
      </c>
      <c r="E99" s="22">
        <v>-1</v>
      </c>
      <c r="F99" s="22">
        <v>-1</v>
      </c>
      <c r="G99" s="22">
        <v>-1</v>
      </c>
      <c r="H99" s="22">
        <v>-1</v>
      </c>
    </row>
    <row r="100" spans="1:8" x14ac:dyDescent="0.25">
      <c r="A100" s="22">
        <v>309</v>
      </c>
      <c r="B100" s="22">
        <v>0</v>
      </c>
      <c r="C100" s="22">
        <v>0</v>
      </c>
      <c r="D100" s="22">
        <v>1</v>
      </c>
      <c r="E100" s="22">
        <v>-1</v>
      </c>
      <c r="F100" s="22">
        <v>1</v>
      </c>
      <c r="G100" s="22">
        <v>-1</v>
      </c>
      <c r="H100" s="22">
        <v>-1</v>
      </c>
    </row>
    <row r="101" spans="1:8" x14ac:dyDescent="0.25">
      <c r="A101" s="22">
        <v>309</v>
      </c>
      <c r="B101" s="22">
        <v>1</v>
      </c>
      <c r="C101" s="22">
        <v>0</v>
      </c>
      <c r="D101" s="22">
        <v>1</v>
      </c>
      <c r="E101" s="22">
        <v>1</v>
      </c>
      <c r="F101" s="22">
        <v>-1</v>
      </c>
      <c r="G101" s="22">
        <v>0</v>
      </c>
      <c r="H101" s="22">
        <v>1</v>
      </c>
    </row>
    <row r="102" spans="1:8" x14ac:dyDescent="0.25">
      <c r="A102" s="22">
        <v>310</v>
      </c>
      <c r="B102" s="22">
        <v>0</v>
      </c>
      <c r="C102" s="22">
        <v>0</v>
      </c>
      <c r="D102" s="22">
        <v>1</v>
      </c>
      <c r="E102" s="22">
        <v>1</v>
      </c>
      <c r="F102" s="22">
        <v>1</v>
      </c>
      <c r="G102" s="22">
        <v>1</v>
      </c>
      <c r="H102" s="22">
        <v>0</v>
      </c>
    </row>
    <row r="103" spans="1:8" x14ac:dyDescent="0.25">
      <c r="A103" s="22">
        <v>310</v>
      </c>
      <c r="B103" s="22">
        <v>1</v>
      </c>
      <c r="C103" s="22">
        <v>-1</v>
      </c>
      <c r="D103" s="22">
        <v>-1</v>
      </c>
      <c r="E103" s="22">
        <v>-1</v>
      </c>
      <c r="F103" s="22">
        <v>-1</v>
      </c>
      <c r="G103" s="22">
        <v>1</v>
      </c>
      <c r="H103" s="22">
        <v>0</v>
      </c>
    </row>
    <row r="104" spans="1:8" x14ac:dyDescent="0.25">
      <c r="A104" s="22">
        <v>310</v>
      </c>
      <c r="B104" s="22">
        <v>0</v>
      </c>
      <c r="C104" s="22">
        <v>-1</v>
      </c>
      <c r="D104" s="22">
        <v>-1</v>
      </c>
      <c r="E104" s="22">
        <v>-1</v>
      </c>
      <c r="F104" s="22">
        <v>1</v>
      </c>
      <c r="G104" s="22">
        <v>0</v>
      </c>
      <c r="H104" s="22">
        <v>1</v>
      </c>
    </row>
    <row r="105" spans="1:8" x14ac:dyDescent="0.25">
      <c r="A105" s="22">
        <v>311</v>
      </c>
      <c r="B105" s="22">
        <v>0</v>
      </c>
      <c r="C105" s="22">
        <v>-1</v>
      </c>
      <c r="D105" s="22">
        <v>-1</v>
      </c>
      <c r="E105" s="22">
        <v>1</v>
      </c>
      <c r="F105" s="22">
        <v>-1</v>
      </c>
      <c r="G105" s="22">
        <v>0</v>
      </c>
      <c r="H105" s="22">
        <v>1</v>
      </c>
    </row>
    <row r="106" spans="1:8" x14ac:dyDescent="0.25">
      <c r="A106" s="22">
        <v>311</v>
      </c>
      <c r="B106" s="22">
        <v>1</v>
      </c>
      <c r="C106" s="22">
        <v>-1</v>
      </c>
      <c r="D106" s="22">
        <v>-1</v>
      </c>
      <c r="E106" s="22">
        <v>-1</v>
      </c>
      <c r="F106" s="22">
        <v>1</v>
      </c>
      <c r="G106" s="22">
        <v>0</v>
      </c>
      <c r="H106" s="22">
        <v>1</v>
      </c>
    </row>
    <row r="107" spans="1:8" x14ac:dyDescent="0.25">
      <c r="A107" s="22">
        <v>311</v>
      </c>
      <c r="B107" s="22">
        <v>0</v>
      </c>
      <c r="C107" s="22">
        <v>0</v>
      </c>
      <c r="D107" s="22">
        <v>1</v>
      </c>
      <c r="E107" s="22">
        <v>-1</v>
      </c>
      <c r="F107" s="22">
        <v>-1</v>
      </c>
      <c r="G107" s="22">
        <v>-1</v>
      </c>
      <c r="H107" s="22">
        <v>-1</v>
      </c>
    </row>
    <row r="108" spans="1:8" x14ac:dyDescent="0.25">
      <c r="A108" s="22">
        <v>312</v>
      </c>
      <c r="B108" s="22">
        <v>0</v>
      </c>
      <c r="C108" s="22">
        <v>-1</v>
      </c>
      <c r="D108" s="22">
        <v>-1</v>
      </c>
      <c r="E108" s="22">
        <v>1</v>
      </c>
      <c r="F108" s="22">
        <v>1</v>
      </c>
      <c r="G108" s="22">
        <v>-1</v>
      </c>
      <c r="H108" s="22">
        <v>-1</v>
      </c>
    </row>
    <row r="109" spans="1:8" x14ac:dyDescent="0.25">
      <c r="A109" s="22">
        <v>312</v>
      </c>
      <c r="B109" s="22">
        <v>1</v>
      </c>
      <c r="C109" s="22">
        <v>1</v>
      </c>
      <c r="D109" s="22">
        <v>0</v>
      </c>
      <c r="E109" s="22">
        <v>1</v>
      </c>
      <c r="F109" s="22">
        <v>1</v>
      </c>
      <c r="G109" s="22">
        <v>1</v>
      </c>
      <c r="H109" s="22">
        <v>0</v>
      </c>
    </row>
    <row r="110" spans="1:8" x14ac:dyDescent="0.25">
      <c r="A110" s="22">
        <v>312</v>
      </c>
      <c r="B110" s="22">
        <v>0</v>
      </c>
      <c r="C110" s="22">
        <v>-1</v>
      </c>
      <c r="D110" s="22">
        <v>-1</v>
      </c>
      <c r="E110" s="22">
        <v>1</v>
      </c>
      <c r="F110" s="22">
        <v>-1</v>
      </c>
      <c r="G110" s="22">
        <v>0</v>
      </c>
      <c r="H110" s="22">
        <v>1</v>
      </c>
    </row>
    <row r="111" spans="1:8" x14ac:dyDescent="0.25">
      <c r="A111" s="22">
        <v>401</v>
      </c>
      <c r="B111" s="22">
        <v>0</v>
      </c>
      <c r="C111" s="22">
        <v>0</v>
      </c>
      <c r="D111" s="22">
        <v>1</v>
      </c>
      <c r="E111" s="22">
        <v>-1</v>
      </c>
      <c r="F111" s="22">
        <v>1</v>
      </c>
      <c r="G111" s="22">
        <v>-1</v>
      </c>
      <c r="H111" s="22">
        <v>-1</v>
      </c>
    </row>
    <row r="112" spans="1:8" x14ac:dyDescent="0.25">
      <c r="A112" s="22">
        <v>401</v>
      </c>
      <c r="B112" s="22">
        <v>0</v>
      </c>
      <c r="C112" s="22">
        <v>1</v>
      </c>
      <c r="D112" s="22">
        <v>0</v>
      </c>
      <c r="E112" s="22">
        <v>1</v>
      </c>
      <c r="F112" s="22">
        <v>-1</v>
      </c>
      <c r="G112" s="22">
        <v>-1</v>
      </c>
      <c r="H112" s="22">
        <v>-1</v>
      </c>
    </row>
    <row r="113" spans="1:8" x14ac:dyDescent="0.25">
      <c r="A113" s="22">
        <v>401</v>
      </c>
      <c r="B113" s="22">
        <v>1</v>
      </c>
      <c r="C113" s="22">
        <v>0</v>
      </c>
      <c r="D113" s="22">
        <v>1</v>
      </c>
      <c r="E113" s="22">
        <v>1</v>
      </c>
      <c r="F113" s="22">
        <v>1</v>
      </c>
      <c r="G113" s="22">
        <v>1</v>
      </c>
      <c r="H113" s="22">
        <v>0</v>
      </c>
    </row>
    <row r="114" spans="1:8" x14ac:dyDescent="0.25">
      <c r="A114" s="22">
        <v>402</v>
      </c>
      <c r="B114" s="22">
        <v>0</v>
      </c>
      <c r="C114" s="22">
        <v>0</v>
      </c>
      <c r="D114" s="22">
        <v>1</v>
      </c>
      <c r="E114" s="22">
        <v>1</v>
      </c>
      <c r="F114" s="22">
        <v>-1</v>
      </c>
      <c r="G114" s="22">
        <v>0</v>
      </c>
      <c r="H114" s="22">
        <v>1</v>
      </c>
    </row>
    <row r="115" spans="1:8" x14ac:dyDescent="0.25">
      <c r="A115" s="22">
        <v>402</v>
      </c>
      <c r="B115" s="22">
        <v>0</v>
      </c>
      <c r="C115" s="22">
        <v>1</v>
      </c>
      <c r="D115" s="22">
        <v>0</v>
      </c>
      <c r="E115" s="22">
        <v>-1</v>
      </c>
      <c r="F115" s="22">
        <v>-1</v>
      </c>
      <c r="G115" s="22">
        <v>1</v>
      </c>
      <c r="H115" s="22">
        <v>0</v>
      </c>
    </row>
    <row r="116" spans="1:8" x14ac:dyDescent="0.25">
      <c r="A116" s="22">
        <v>402</v>
      </c>
      <c r="B116" s="22">
        <v>1</v>
      </c>
      <c r="C116" s="22">
        <v>1</v>
      </c>
      <c r="D116" s="22">
        <v>0</v>
      </c>
      <c r="E116" s="22">
        <v>1</v>
      </c>
      <c r="F116" s="22">
        <v>1</v>
      </c>
      <c r="G116" s="22">
        <v>1</v>
      </c>
      <c r="H116" s="22">
        <v>0</v>
      </c>
    </row>
    <row r="117" spans="1:8" x14ac:dyDescent="0.25">
      <c r="A117" s="22">
        <v>403</v>
      </c>
      <c r="B117" s="22">
        <v>1</v>
      </c>
      <c r="C117" s="22">
        <v>1</v>
      </c>
      <c r="D117" s="22">
        <v>0</v>
      </c>
      <c r="E117" s="22">
        <v>-1</v>
      </c>
      <c r="F117" s="22">
        <v>-1</v>
      </c>
      <c r="G117" s="22">
        <v>1</v>
      </c>
      <c r="H117" s="22">
        <v>0</v>
      </c>
    </row>
    <row r="118" spans="1:8" x14ac:dyDescent="0.25">
      <c r="A118" s="22">
        <v>403</v>
      </c>
      <c r="B118" s="22">
        <v>0</v>
      </c>
      <c r="C118" s="22">
        <v>-1</v>
      </c>
      <c r="D118" s="22">
        <v>-1</v>
      </c>
      <c r="E118" s="22">
        <v>1</v>
      </c>
      <c r="F118" s="22">
        <v>-1</v>
      </c>
      <c r="G118" s="22">
        <v>0</v>
      </c>
      <c r="H118" s="22">
        <v>1</v>
      </c>
    </row>
    <row r="119" spans="1:8" x14ac:dyDescent="0.25">
      <c r="A119" s="22">
        <v>403</v>
      </c>
      <c r="B119" s="22">
        <v>0</v>
      </c>
      <c r="C119" s="22">
        <v>1</v>
      </c>
      <c r="D119" s="22">
        <v>0</v>
      </c>
      <c r="E119" s="22">
        <v>1</v>
      </c>
      <c r="F119" s="22">
        <v>-1</v>
      </c>
      <c r="G119" s="22">
        <v>-1</v>
      </c>
      <c r="H119" s="22">
        <v>-1</v>
      </c>
    </row>
    <row r="120" spans="1:8" x14ac:dyDescent="0.25">
      <c r="A120" s="22">
        <v>404</v>
      </c>
      <c r="B120" s="22">
        <v>0</v>
      </c>
      <c r="C120" s="22">
        <v>1</v>
      </c>
      <c r="D120" s="22">
        <v>0</v>
      </c>
      <c r="E120" s="22">
        <v>1</v>
      </c>
      <c r="F120" s="22">
        <v>-1</v>
      </c>
      <c r="G120" s="22">
        <v>-1</v>
      </c>
      <c r="H120" s="22">
        <v>-1</v>
      </c>
    </row>
    <row r="121" spans="1:8" x14ac:dyDescent="0.25">
      <c r="A121" s="22">
        <v>404</v>
      </c>
      <c r="B121" s="22">
        <v>0</v>
      </c>
      <c r="C121" s="22">
        <v>-1</v>
      </c>
      <c r="D121" s="22">
        <v>-1</v>
      </c>
      <c r="E121" s="22">
        <v>1</v>
      </c>
      <c r="F121" s="22">
        <v>1</v>
      </c>
      <c r="G121" s="22">
        <v>-1</v>
      </c>
      <c r="H121" s="22">
        <v>-1</v>
      </c>
    </row>
    <row r="122" spans="1:8" x14ac:dyDescent="0.25">
      <c r="A122" s="22">
        <v>404</v>
      </c>
      <c r="B122" s="22">
        <v>1</v>
      </c>
      <c r="C122" s="22">
        <v>1</v>
      </c>
      <c r="D122" s="22">
        <v>0</v>
      </c>
      <c r="E122" s="22">
        <v>-1</v>
      </c>
      <c r="F122" s="22">
        <v>-1</v>
      </c>
      <c r="G122" s="22">
        <v>1</v>
      </c>
      <c r="H122" s="22">
        <v>0</v>
      </c>
    </row>
    <row r="123" spans="1:8" x14ac:dyDescent="0.25">
      <c r="A123" s="22">
        <v>405</v>
      </c>
      <c r="B123" s="22">
        <v>1</v>
      </c>
      <c r="C123" s="22">
        <v>-1</v>
      </c>
      <c r="D123" s="22">
        <v>-1</v>
      </c>
      <c r="E123" s="22">
        <v>-1</v>
      </c>
      <c r="F123" s="22">
        <v>-1</v>
      </c>
      <c r="G123" s="22">
        <v>1</v>
      </c>
      <c r="H123" s="22">
        <v>0</v>
      </c>
    </row>
    <row r="124" spans="1:8" x14ac:dyDescent="0.25">
      <c r="A124" s="22">
        <v>405</v>
      </c>
      <c r="B124" s="22">
        <v>0</v>
      </c>
      <c r="C124" s="22">
        <v>0</v>
      </c>
      <c r="D124" s="22">
        <v>1</v>
      </c>
      <c r="E124" s="22">
        <v>1</v>
      </c>
      <c r="F124" s="22">
        <v>1</v>
      </c>
      <c r="G124" s="22">
        <v>1</v>
      </c>
      <c r="H124" s="22">
        <v>0</v>
      </c>
    </row>
    <row r="125" spans="1:8" x14ac:dyDescent="0.25">
      <c r="A125" s="22">
        <v>405</v>
      </c>
      <c r="B125" s="22">
        <v>0</v>
      </c>
      <c r="C125" s="22">
        <v>1</v>
      </c>
      <c r="D125" s="22">
        <v>0</v>
      </c>
      <c r="E125" s="22">
        <v>-1</v>
      </c>
      <c r="F125" s="22">
        <v>1</v>
      </c>
      <c r="G125" s="22">
        <v>0</v>
      </c>
      <c r="H125" s="22">
        <v>1</v>
      </c>
    </row>
    <row r="126" spans="1:8" x14ac:dyDescent="0.25">
      <c r="A126" s="22">
        <v>406</v>
      </c>
      <c r="B126" s="22">
        <v>1</v>
      </c>
      <c r="C126" s="22">
        <v>1</v>
      </c>
      <c r="D126" s="22">
        <v>0</v>
      </c>
      <c r="E126" s="22">
        <v>-1</v>
      </c>
      <c r="F126" s="22">
        <v>1</v>
      </c>
      <c r="G126" s="22">
        <v>0</v>
      </c>
      <c r="H126" s="22">
        <v>1</v>
      </c>
    </row>
    <row r="127" spans="1:8" x14ac:dyDescent="0.25">
      <c r="A127" s="22">
        <v>406</v>
      </c>
      <c r="B127" s="22">
        <v>0</v>
      </c>
      <c r="C127" s="22">
        <v>0</v>
      </c>
      <c r="D127" s="22">
        <v>1</v>
      </c>
      <c r="E127" s="22">
        <v>1</v>
      </c>
      <c r="F127" s="22">
        <v>-1</v>
      </c>
      <c r="G127" s="22">
        <v>0</v>
      </c>
      <c r="H127" s="22">
        <v>1</v>
      </c>
    </row>
    <row r="128" spans="1:8" x14ac:dyDescent="0.25">
      <c r="A128" s="22">
        <v>406</v>
      </c>
      <c r="B128" s="22">
        <v>0</v>
      </c>
      <c r="C128" s="22">
        <v>0</v>
      </c>
      <c r="D128" s="22">
        <v>1</v>
      </c>
      <c r="E128" s="22">
        <v>-1</v>
      </c>
      <c r="F128" s="22">
        <v>1</v>
      </c>
      <c r="G128" s="22">
        <v>-1</v>
      </c>
      <c r="H128" s="22">
        <v>-1</v>
      </c>
    </row>
    <row r="129" spans="1:8" x14ac:dyDescent="0.25">
      <c r="A129" s="22">
        <v>407</v>
      </c>
      <c r="B129" s="22">
        <v>1</v>
      </c>
      <c r="C129" s="22">
        <v>-1</v>
      </c>
      <c r="D129" s="22">
        <v>-1</v>
      </c>
      <c r="E129" s="22">
        <v>-1</v>
      </c>
      <c r="F129" s="22">
        <v>1</v>
      </c>
      <c r="G129" s="22">
        <v>0</v>
      </c>
      <c r="H129" s="22">
        <v>1</v>
      </c>
    </row>
    <row r="130" spans="1:8" x14ac:dyDescent="0.25">
      <c r="A130" s="22">
        <v>407</v>
      </c>
      <c r="B130" s="22">
        <v>0</v>
      </c>
      <c r="C130" s="22">
        <v>0</v>
      </c>
      <c r="D130" s="22">
        <v>1</v>
      </c>
      <c r="E130" s="22">
        <v>-1</v>
      </c>
      <c r="F130" s="22">
        <v>-1</v>
      </c>
      <c r="G130" s="22">
        <v>-1</v>
      </c>
      <c r="H130" s="22">
        <v>-1</v>
      </c>
    </row>
    <row r="131" spans="1:8" x14ac:dyDescent="0.25">
      <c r="A131" s="22">
        <v>407</v>
      </c>
      <c r="B131" s="22">
        <v>0</v>
      </c>
      <c r="C131" s="22">
        <v>-1</v>
      </c>
      <c r="D131" s="22">
        <v>-1</v>
      </c>
      <c r="E131" s="22">
        <v>1</v>
      </c>
      <c r="F131" s="22">
        <v>1</v>
      </c>
      <c r="G131" s="22">
        <v>-1</v>
      </c>
      <c r="H131" s="22">
        <v>-1</v>
      </c>
    </row>
    <row r="132" spans="1:8" x14ac:dyDescent="0.25">
      <c r="A132" s="22">
        <v>408</v>
      </c>
      <c r="B132" s="22">
        <v>1</v>
      </c>
      <c r="C132" s="22">
        <v>1</v>
      </c>
      <c r="D132" s="22">
        <v>0</v>
      </c>
      <c r="E132" s="22">
        <v>1</v>
      </c>
      <c r="F132" s="22">
        <v>1</v>
      </c>
      <c r="G132" s="22">
        <v>1</v>
      </c>
      <c r="H132" s="22">
        <v>0</v>
      </c>
    </row>
    <row r="133" spans="1:8" x14ac:dyDescent="0.25">
      <c r="A133" s="22">
        <v>408</v>
      </c>
      <c r="B133" s="22">
        <v>0</v>
      </c>
      <c r="C133" s="22">
        <v>1</v>
      </c>
      <c r="D133" s="22">
        <v>0</v>
      </c>
      <c r="E133" s="22">
        <v>-1</v>
      </c>
      <c r="F133" s="22">
        <v>1</v>
      </c>
      <c r="G133" s="22">
        <v>0</v>
      </c>
      <c r="H133" s="22">
        <v>1</v>
      </c>
    </row>
    <row r="134" spans="1:8" x14ac:dyDescent="0.25">
      <c r="A134" s="22">
        <v>408</v>
      </c>
      <c r="B134" s="22">
        <v>0</v>
      </c>
      <c r="C134" s="22">
        <v>-1</v>
      </c>
      <c r="D134" s="22">
        <v>-1</v>
      </c>
      <c r="E134" s="22">
        <v>-1</v>
      </c>
      <c r="F134" s="22">
        <v>-1</v>
      </c>
      <c r="G134" s="22">
        <v>1</v>
      </c>
      <c r="H134" s="22">
        <v>0</v>
      </c>
    </row>
    <row r="135" spans="1:8" x14ac:dyDescent="0.25">
      <c r="A135" s="22">
        <v>409</v>
      </c>
      <c r="B135" s="22">
        <v>0</v>
      </c>
      <c r="C135" s="22">
        <v>0</v>
      </c>
      <c r="D135" s="22">
        <v>1</v>
      </c>
      <c r="E135" s="22">
        <v>-1</v>
      </c>
      <c r="F135" s="22">
        <v>-1</v>
      </c>
      <c r="G135" s="22">
        <v>-1</v>
      </c>
      <c r="H135" s="22">
        <v>-1</v>
      </c>
    </row>
    <row r="136" spans="1:8" x14ac:dyDescent="0.25">
      <c r="A136" s="22">
        <v>409</v>
      </c>
      <c r="B136" s="22">
        <v>0</v>
      </c>
      <c r="C136" s="22">
        <v>0</v>
      </c>
      <c r="D136" s="22">
        <v>1</v>
      </c>
      <c r="E136" s="22">
        <v>-1</v>
      </c>
      <c r="F136" s="22">
        <v>1</v>
      </c>
      <c r="G136" s="22">
        <v>-1</v>
      </c>
      <c r="H136" s="22">
        <v>-1</v>
      </c>
    </row>
    <row r="137" spans="1:8" x14ac:dyDescent="0.25">
      <c r="A137" s="22">
        <v>409</v>
      </c>
      <c r="B137" s="22">
        <v>1</v>
      </c>
      <c r="C137" s="22">
        <v>0</v>
      </c>
      <c r="D137" s="22">
        <v>1</v>
      </c>
      <c r="E137" s="22">
        <v>1</v>
      </c>
      <c r="F137" s="22">
        <v>-1</v>
      </c>
      <c r="G137" s="22">
        <v>0</v>
      </c>
      <c r="H137" s="22">
        <v>1</v>
      </c>
    </row>
    <row r="138" spans="1:8" x14ac:dyDescent="0.25">
      <c r="A138" s="22">
        <v>410</v>
      </c>
      <c r="B138" s="22">
        <v>0</v>
      </c>
      <c r="C138" s="22">
        <v>0</v>
      </c>
      <c r="D138" s="22">
        <v>1</v>
      </c>
      <c r="E138" s="22">
        <v>1</v>
      </c>
      <c r="F138" s="22">
        <v>1</v>
      </c>
      <c r="G138" s="22">
        <v>1</v>
      </c>
      <c r="H138" s="22">
        <v>0</v>
      </c>
    </row>
    <row r="139" spans="1:8" x14ac:dyDescent="0.25">
      <c r="A139" s="22">
        <v>410</v>
      </c>
      <c r="B139" s="22">
        <v>1</v>
      </c>
      <c r="C139" s="22">
        <v>-1</v>
      </c>
      <c r="D139" s="22">
        <v>-1</v>
      </c>
      <c r="E139" s="22">
        <v>-1</v>
      </c>
      <c r="F139" s="22">
        <v>-1</v>
      </c>
      <c r="G139" s="22">
        <v>1</v>
      </c>
      <c r="H139" s="22">
        <v>0</v>
      </c>
    </row>
    <row r="140" spans="1:8" x14ac:dyDescent="0.25">
      <c r="A140" s="22">
        <v>410</v>
      </c>
      <c r="B140" s="22">
        <v>0</v>
      </c>
      <c r="C140" s="22">
        <v>-1</v>
      </c>
      <c r="D140" s="22">
        <v>-1</v>
      </c>
      <c r="E140" s="22">
        <v>-1</v>
      </c>
      <c r="F140" s="22">
        <v>1</v>
      </c>
      <c r="G140" s="22">
        <v>0</v>
      </c>
      <c r="H140" s="22">
        <v>1</v>
      </c>
    </row>
    <row r="141" spans="1:8" x14ac:dyDescent="0.25">
      <c r="A141" s="22">
        <v>411</v>
      </c>
      <c r="B141" s="22">
        <v>0</v>
      </c>
      <c r="C141" s="22">
        <v>-1</v>
      </c>
      <c r="D141" s="22">
        <v>-1</v>
      </c>
      <c r="E141" s="22">
        <v>1</v>
      </c>
      <c r="F141" s="22">
        <v>-1</v>
      </c>
      <c r="G141" s="22">
        <v>0</v>
      </c>
      <c r="H141" s="22">
        <v>1</v>
      </c>
    </row>
    <row r="142" spans="1:8" x14ac:dyDescent="0.25">
      <c r="A142" s="22">
        <v>411</v>
      </c>
      <c r="B142" s="22">
        <v>1</v>
      </c>
      <c r="C142" s="22">
        <v>-1</v>
      </c>
      <c r="D142" s="22">
        <v>-1</v>
      </c>
      <c r="E142" s="22">
        <v>-1</v>
      </c>
      <c r="F142" s="22">
        <v>1</v>
      </c>
      <c r="G142" s="22">
        <v>0</v>
      </c>
      <c r="H142" s="22">
        <v>1</v>
      </c>
    </row>
    <row r="143" spans="1:8" x14ac:dyDescent="0.25">
      <c r="A143" s="22">
        <v>411</v>
      </c>
      <c r="B143" s="22">
        <v>0</v>
      </c>
      <c r="C143" s="22">
        <v>0</v>
      </c>
      <c r="D143" s="22">
        <v>1</v>
      </c>
      <c r="E143" s="22">
        <v>-1</v>
      </c>
      <c r="F143" s="22">
        <v>-1</v>
      </c>
      <c r="G143" s="22">
        <v>-1</v>
      </c>
      <c r="H143" s="22">
        <v>-1</v>
      </c>
    </row>
    <row r="144" spans="1:8" x14ac:dyDescent="0.25">
      <c r="A144" s="22">
        <v>412</v>
      </c>
      <c r="B144" s="22">
        <v>0</v>
      </c>
      <c r="C144" s="22">
        <v>-1</v>
      </c>
      <c r="D144" s="22">
        <v>-1</v>
      </c>
      <c r="E144" s="22">
        <v>1</v>
      </c>
      <c r="F144" s="22">
        <v>1</v>
      </c>
      <c r="G144" s="22">
        <v>-1</v>
      </c>
      <c r="H144" s="22">
        <v>-1</v>
      </c>
    </row>
    <row r="145" spans="1:8" x14ac:dyDescent="0.25">
      <c r="A145" s="22">
        <v>412</v>
      </c>
      <c r="B145" s="22">
        <v>1</v>
      </c>
      <c r="C145" s="22">
        <v>1</v>
      </c>
      <c r="D145" s="22">
        <v>0</v>
      </c>
      <c r="E145" s="22">
        <v>1</v>
      </c>
      <c r="F145" s="22">
        <v>1</v>
      </c>
      <c r="G145" s="22">
        <v>1</v>
      </c>
      <c r="H145" s="22">
        <v>0</v>
      </c>
    </row>
    <row r="146" spans="1:8" x14ac:dyDescent="0.25">
      <c r="A146" s="22">
        <v>412</v>
      </c>
      <c r="B146" s="22">
        <v>0</v>
      </c>
      <c r="C146" s="22">
        <v>-1</v>
      </c>
      <c r="D146" s="22">
        <v>-1</v>
      </c>
      <c r="E146" s="22">
        <v>1</v>
      </c>
      <c r="F146" s="22">
        <v>-1</v>
      </c>
      <c r="G146" s="22">
        <v>0</v>
      </c>
      <c r="H146" s="22">
        <v>1</v>
      </c>
    </row>
    <row r="147" spans="1:8" x14ac:dyDescent="0.25">
      <c r="A147" s="22">
        <v>501</v>
      </c>
      <c r="B147" s="22">
        <v>0</v>
      </c>
      <c r="C147" s="22">
        <v>0</v>
      </c>
      <c r="D147" s="22">
        <v>1</v>
      </c>
      <c r="E147" s="22">
        <v>-1</v>
      </c>
      <c r="F147" s="22">
        <v>1</v>
      </c>
      <c r="G147" s="22">
        <v>-1</v>
      </c>
      <c r="H147" s="22">
        <v>-1</v>
      </c>
    </row>
    <row r="148" spans="1:8" x14ac:dyDescent="0.25">
      <c r="A148" s="22">
        <v>501</v>
      </c>
      <c r="B148" s="22">
        <v>0</v>
      </c>
      <c r="C148" s="22">
        <v>1</v>
      </c>
      <c r="D148" s="22">
        <v>0</v>
      </c>
      <c r="E148" s="22">
        <v>1</v>
      </c>
      <c r="F148" s="22">
        <v>-1</v>
      </c>
      <c r="G148" s="22">
        <v>-1</v>
      </c>
      <c r="H148" s="22">
        <v>-1</v>
      </c>
    </row>
    <row r="149" spans="1:8" x14ac:dyDescent="0.25">
      <c r="A149" s="22">
        <v>501</v>
      </c>
      <c r="B149" s="22">
        <v>1</v>
      </c>
      <c r="C149" s="22">
        <v>0</v>
      </c>
      <c r="D149" s="22">
        <v>1</v>
      </c>
      <c r="E149" s="22">
        <v>1</v>
      </c>
      <c r="F149" s="22">
        <v>1</v>
      </c>
      <c r="G149" s="22">
        <v>1</v>
      </c>
      <c r="H149" s="22">
        <v>0</v>
      </c>
    </row>
    <row r="150" spans="1:8" x14ac:dyDescent="0.25">
      <c r="A150" s="22">
        <v>502</v>
      </c>
      <c r="B150" s="22">
        <v>0</v>
      </c>
      <c r="C150" s="22">
        <v>0</v>
      </c>
      <c r="D150" s="22">
        <v>1</v>
      </c>
      <c r="E150" s="22">
        <v>1</v>
      </c>
      <c r="F150" s="22">
        <v>-1</v>
      </c>
      <c r="G150" s="22">
        <v>0</v>
      </c>
      <c r="H150" s="22">
        <v>1</v>
      </c>
    </row>
    <row r="151" spans="1:8" x14ac:dyDescent="0.25">
      <c r="A151" s="22">
        <v>502</v>
      </c>
      <c r="B151" s="22">
        <v>0</v>
      </c>
      <c r="C151" s="22">
        <v>1</v>
      </c>
      <c r="D151" s="22">
        <v>0</v>
      </c>
      <c r="E151" s="22">
        <v>-1</v>
      </c>
      <c r="F151" s="22">
        <v>-1</v>
      </c>
      <c r="G151" s="22">
        <v>1</v>
      </c>
      <c r="H151" s="22">
        <v>0</v>
      </c>
    </row>
    <row r="152" spans="1:8" x14ac:dyDescent="0.25">
      <c r="A152" s="22">
        <v>502</v>
      </c>
      <c r="B152" s="22">
        <v>1</v>
      </c>
      <c r="C152" s="22">
        <v>1</v>
      </c>
      <c r="D152" s="22">
        <v>0</v>
      </c>
      <c r="E152" s="22">
        <v>1</v>
      </c>
      <c r="F152" s="22">
        <v>1</v>
      </c>
      <c r="G152" s="22">
        <v>1</v>
      </c>
      <c r="H152" s="22">
        <v>0</v>
      </c>
    </row>
    <row r="153" spans="1:8" x14ac:dyDescent="0.25">
      <c r="A153" s="22">
        <v>503</v>
      </c>
      <c r="B153" s="22">
        <v>1</v>
      </c>
      <c r="C153" s="22">
        <v>1</v>
      </c>
      <c r="D153" s="22">
        <v>0</v>
      </c>
      <c r="E153" s="22">
        <v>-1</v>
      </c>
      <c r="F153" s="22">
        <v>-1</v>
      </c>
      <c r="G153" s="22">
        <v>1</v>
      </c>
      <c r="H153" s="22">
        <v>0</v>
      </c>
    </row>
    <row r="154" spans="1:8" x14ac:dyDescent="0.25">
      <c r="A154" s="22">
        <v>503</v>
      </c>
      <c r="B154" s="22">
        <v>0</v>
      </c>
      <c r="C154" s="22">
        <v>-1</v>
      </c>
      <c r="D154" s="22">
        <v>-1</v>
      </c>
      <c r="E154" s="22">
        <v>1</v>
      </c>
      <c r="F154" s="22">
        <v>-1</v>
      </c>
      <c r="G154" s="22">
        <v>0</v>
      </c>
      <c r="H154" s="22">
        <v>1</v>
      </c>
    </row>
    <row r="155" spans="1:8" x14ac:dyDescent="0.25">
      <c r="A155" s="22">
        <v>503</v>
      </c>
      <c r="B155" s="22">
        <v>0</v>
      </c>
      <c r="C155" s="22">
        <v>1</v>
      </c>
      <c r="D155" s="22">
        <v>0</v>
      </c>
      <c r="E155" s="22">
        <v>1</v>
      </c>
      <c r="F155" s="22">
        <v>-1</v>
      </c>
      <c r="G155" s="22">
        <v>-1</v>
      </c>
      <c r="H155" s="22">
        <v>-1</v>
      </c>
    </row>
    <row r="156" spans="1:8" x14ac:dyDescent="0.25">
      <c r="A156" s="22">
        <v>504</v>
      </c>
      <c r="B156" s="22">
        <v>0</v>
      </c>
      <c r="C156" s="22">
        <v>1</v>
      </c>
      <c r="D156" s="22">
        <v>0</v>
      </c>
      <c r="E156" s="22">
        <v>1</v>
      </c>
      <c r="F156" s="22">
        <v>-1</v>
      </c>
      <c r="G156" s="22">
        <v>-1</v>
      </c>
      <c r="H156" s="22">
        <v>-1</v>
      </c>
    </row>
    <row r="157" spans="1:8" x14ac:dyDescent="0.25">
      <c r="A157" s="22">
        <v>504</v>
      </c>
      <c r="B157" s="22">
        <v>0</v>
      </c>
      <c r="C157" s="22">
        <v>-1</v>
      </c>
      <c r="D157" s="22">
        <v>-1</v>
      </c>
      <c r="E157" s="22">
        <v>1</v>
      </c>
      <c r="F157" s="22">
        <v>1</v>
      </c>
      <c r="G157" s="22">
        <v>-1</v>
      </c>
      <c r="H157" s="22">
        <v>-1</v>
      </c>
    </row>
    <row r="158" spans="1:8" x14ac:dyDescent="0.25">
      <c r="A158" s="22">
        <v>504</v>
      </c>
      <c r="B158" s="22">
        <v>1</v>
      </c>
      <c r="C158" s="22">
        <v>1</v>
      </c>
      <c r="D158" s="22">
        <v>0</v>
      </c>
      <c r="E158" s="22">
        <v>-1</v>
      </c>
      <c r="F158" s="22">
        <v>-1</v>
      </c>
      <c r="G158" s="22">
        <v>1</v>
      </c>
      <c r="H158" s="22">
        <v>0</v>
      </c>
    </row>
    <row r="159" spans="1:8" x14ac:dyDescent="0.25">
      <c r="A159" s="22">
        <v>505</v>
      </c>
      <c r="B159" s="22">
        <v>1</v>
      </c>
      <c r="C159" s="22">
        <v>-1</v>
      </c>
      <c r="D159" s="22">
        <v>-1</v>
      </c>
      <c r="E159" s="22">
        <v>-1</v>
      </c>
      <c r="F159" s="22">
        <v>-1</v>
      </c>
      <c r="G159" s="22">
        <v>1</v>
      </c>
      <c r="H159" s="22">
        <v>0</v>
      </c>
    </row>
    <row r="160" spans="1:8" x14ac:dyDescent="0.25">
      <c r="A160" s="22">
        <v>505</v>
      </c>
      <c r="B160" s="22">
        <v>0</v>
      </c>
      <c r="C160" s="22">
        <v>0</v>
      </c>
      <c r="D160" s="22">
        <v>1</v>
      </c>
      <c r="E160" s="22">
        <v>1</v>
      </c>
      <c r="F160" s="22">
        <v>1</v>
      </c>
      <c r="G160" s="22">
        <v>1</v>
      </c>
      <c r="H160" s="22">
        <v>0</v>
      </c>
    </row>
    <row r="161" spans="1:8" x14ac:dyDescent="0.25">
      <c r="A161" s="22">
        <v>505</v>
      </c>
      <c r="B161" s="22">
        <v>0</v>
      </c>
      <c r="C161" s="22">
        <v>1</v>
      </c>
      <c r="D161" s="22">
        <v>0</v>
      </c>
      <c r="E161" s="22">
        <v>-1</v>
      </c>
      <c r="F161" s="22">
        <v>1</v>
      </c>
      <c r="G161" s="22">
        <v>0</v>
      </c>
      <c r="H161" s="22">
        <v>1</v>
      </c>
    </row>
    <row r="162" spans="1:8" x14ac:dyDescent="0.25">
      <c r="A162" s="22">
        <v>506</v>
      </c>
      <c r="B162" s="22">
        <v>1</v>
      </c>
      <c r="C162" s="22">
        <v>1</v>
      </c>
      <c r="D162" s="22">
        <v>0</v>
      </c>
      <c r="E162" s="22">
        <v>-1</v>
      </c>
      <c r="F162" s="22">
        <v>1</v>
      </c>
      <c r="G162" s="22">
        <v>0</v>
      </c>
      <c r="H162" s="22">
        <v>1</v>
      </c>
    </row>
    <row r="163" spans="1:8" x14ac:dyDescent="0.25">
      <c r="A163" s="22">
        <v>506</v>
      </c>
      <c r="B163" s="22">
        <v>0</v>
      </c>
      <c r="C163" s="22">
        <v>0</v>
      </c>
      <c r="D163" s="22">
        <v>1</v>
      </c>
      <c r="E163" s="22">
        <v>1</v>
      </c>
      <c r="F163" s="22">
        <v>-1</v>
      </c>
      <c r="G163" s="22">
        <v>0</v>
      </c>
      <c r="H163" s="22">
        <v>1</v>
      </c>
    </row>
    <row r="164" spans="1:8" x14ac:dyDescent="0.25">
      <c r="A164" s="22">
        <v>506</v>
      </c>
      <c r="B164" s="22">
        <v>0</v>
      </c>
      <c r="C164" s="22">
        <v>0</v>
      </c>
      <c r="D164" s="22">
        <v>1</v>
      </c>
      <c r="E164" s="22">
        <v>-1</v>
      </c>
      <c r="F164" s="22">
        <v>1</v>
      </c>
      <c r="G164" s="22">
        <v>-1</v>
      </c>
      <c r="H164" s="22">
        <v>-1</v>
      </c>
    </row>
    <row r="165" spans="1:8" x14ac:dyDescent="0.25">
      <c r="A165" s="22">
        <v>507</v>
      </c>
      <c r="B165" s="22">
        <v>1</v>
      </c>
      <c r="C165" s="22">
        <v>-1</v>
      </c>
      <c r="D165" s="22">
        <v>-1</v>
      </c>
      <c r="E165" s="22">
        <v>-1</v>
      </c>
      <c r="F165" s="22">
        <v>1</v>
      </c>
      <c r="G165" s="22">
        <v>0</v>
      </c>
      <c r="H165" s="22">
        <v>1</v>
      </c>
    </row>
    <row r="166" spans="1:8" x14ac:dyDescent="0.25">
      <c r="A166" s="22">
        <v>507</v>
      </c>
      <c r="B166" s="22">
        <v>0</v>
      </c>
      <c r="C166" s="22">
        <v>0</v>
      </c>
      <c r="D166" s="22">
        <v>1</v>
      </c>
      <c r="E166" s="22">
        <v>-1</v>
      </c>
      <c r="F166" s="22">
        <v>-1</v>
      </c>
      <c r="G166" s="22">
        <v>-1</v>
      </c>
      <c r="H166" s="22">
        <v>-1</v>
      </c>
    </row>
    <row r="167" spans="1:8" x14ac:dyDescent="0.25">
      <c r="A167" s="22">
        <v>507</v>
      </c>
      <c r="B167" s="22">
        <v>0</v>
      </c>
      <c r="C167" s="22">
        <v>-1</v>
      </c>
      <c r="D167" s="22">
        <v>-1</v>
      </c>
      <c r="E167" s="22">
        <v>1</v>
      </c>
      <c r="F167" s="22">
        <v>1</v>
      </c>
      <c r="G167" s="22">
        <v>-1</v>
      </c>
      <c r="H167" s="22">
        <v>-1</v>
      </c>
    </row>
    <row r="168" spans="1:8" x14ac:dyDescent="0.25">
      <c r="A168" s="22">
        <v>508</v>
      </c>
      <c r="B168" s="22">
        <v>1</v>
      </c>
      <c r="C168" s="22">
        <v>1</v>
      </c>
      <c r="D168" s="22">
        <v>0</v>
      </c>
      <c r="E168" s="22">
        <v>1</v>
      </c>
      <c r="F168" s="22">
        <v>1</v>
      </c>
      <c r="G168" s="22">
        <v>1</v>
      </c>
      <c r="H168" s="22">
        <v>0</v>
      </c>
    </row>
    <row r="169" spans="1:8" x14ac:dyDescent="0.25">
      <c r="A169" s="22">
        <v>508</v>
      </c>
      <c r="B169" s="22">
        <v>0</v>
      </c>
      <c r="C169" s="22">
        <v>1</v>
      </c>
      <c r="D169" s="22">
        <v>0</v>
      </c>
      <c r="E169" s="22">
        <v>-1</v>
      </c>
      <c r="F169" s="22">
        <v>1</v>
      </c>
      <c r="G169" s="22">
        <v>0</v>
      </c>
      <c r="H169" s="22">
        <v>1</v>
      </c>
    </row>
    <row r="170" spans="1:8" x14ac:dyDescent="0.25">
      <c r="A170" s="22">
        <v>508</v>
      </c>
      <c r="B170" s="22">
        <v>0</v>
      </c>
      <c r="C170" s="22">
        <v>-1</v>
      </c>
      <c r="D170" s="22">
        <v>-1</v>
      </c>
      <c r="E170" s="22">
        <v>-1</v>
      </c>
      <c r="F170" s="22">
        <v>-1</v>
      </c>
      <c r="G170" s="22">
        <v>1</v>
      </c>
      <c r="H170" s="22">
        <v>0</v>
      </c>
    </row>
    <row r="171" spans="1:8" x14ac:dyDescent="0.25">
      <c r="A171" s="22">
        <v>509</v>
      </c>
      <c r="B171" s="22">
        <v>0</v>
      </c>
      <c r="C171" s="22">
        <v>0</v>
      </c>
      <c r="D171" s="22">
        <v>1</v>
      </c>
      <c r="E171" s="22">
        <v>-1</v>
      </c>
      <c r="F171" s="22">
        <v>-1</v>
      </c>
      <c r="G171" s="22">
        <v>-1</v>
      </c>
      <c r="H171" s="22">
        <v>-1</v>
      </c>
    </row>
    <row r="172" spans="1:8" x14ac:dyDescent="0.25">
      <c r="A172" s="22">
        <v>509</v>
      </c>
      <c r="B172" s="22">
        <v>0</v>
      </c>
      <c r="C172" s="22">
        <v>0</v>
      </c>
      <c r="D172" s="22">
        <v>1</v>
      </c>
      <c r="E172" s="22">
        <v>-1</v>
      </c>
      <c r="F172" s="22">
        <v>1</v>
      </c>
      <c r="G172" s="22">
        <v>-1</v>
      </c>
      <c r="H172" s="22">
        <v>-1</v>
      </c>
    </row>
    <row r="173" spans="1:8" x14ac:dyDescent="0.25">
      <c r="A173" s="22">
        <v>509</v>
      </c>
      <c r="B173" s="22">
        <v>1</v>
      </c>
      <c r="C173" s="22">
        <v>0</v>
      </c>
      <c r="D173" s="22">
        <v>1</v>
      </c>
      <c r="E173" s="22">
        <v>1</v>
      </c>
      <c r="F173" s="22">
        <v>-1</v>
      </c>
      <c r="G173" s="22">
        <v>0</v>
      </c>
      <c r="H173" s="22">
        <v>1</v>
      </c>
    </row>
    <row r="174" spans="1:8" x14ac:dyDescent="0.25">
      <c r="A174" s="22">
        <v>510</v>
      </c>
      <c r="B174" s="22">
        <v>0</v>
      </c>
      <c r="C174" s="22">
        <v>0</v>
      </c>
      <c r="D174" s="22">
        <v>1</v>
      </c>
      <c r="E174" s="22">
        <v>1</v>
      </c>
      <c r="F174" s="22">
        <v>1</v>
      </c>
      <c r="G174" s="22">
        <v>1</v>
      </c>
      <c r="H174" s="22">
        <v>0</v>
      </c>
    </row>
    <row r="175" spans="1:8" x14ac:dyDescent="0.25">
      <c r="A175" s="22">
        <v>510</v>
      </c>
      <c r="B175" s="22">
        <v>1</v>
      </c>
      <c r="C175" s="22">
        <v>-1</v>
      </c>
      <c r="D175" s="22">
        <v>-1</v>
      </c>
      <c r="E175" s="22">
        <v>-1</v>
      </c>
      <c r="F175" s="22">
        <v>-1</v>
      </c>
      <c r="G175" s="22">
        <v>1</v>
      </c>
      <c r="H175" s="22">
        <v>0</v>
      </c>
    </row>
    <row r="176" spans="1:8" x14ac:dyDescent="0.25">
      <c r="A176" s="22">
        <v>510</v>
      </c>
      <c r="B176" s="22">
        <v>0</v>
      </c>
      <c r="C176" s="22">
        <v>-1</v>
      </c>
      <c r="D176" s="22">
        <v>-1</v>
      </c>
      <c r="E176" s="22">
        <v>-1</v>
      </c>
      <c r="F176" s="22">
        <v>1</v>
      </c>
      <c r="G176" s="22">
        <v>0</v>
      </c>
      <c r="H176" s="22">
        <v>1</v>
      </c>
    </row>
    <row r="177" spans="1:8" x14ac:dyDescent="0.25">
      <c r="A177" s="22">
        <v>511</v>
      </c>
      <c r="B177" s="22">
        <v>0</v>
      </c>
      <c r="C177" s="22">
        <v>-1</v>
      </c>
      <c r="D177" s="22">
        <v>-1</v>
      </c>
      <c r="E177" s="22">
        <v>1</v>
      </c>
      <c r="F177" s="22">
        <v>-1</v>
      </c>
      <c r="G177" s="22">
        <v>0</v>
      </c>
      <c r="H177" s="22">
        <v>1</v>
      </c>
    </row>
    <row r="178" spans="1:8" x14ac:dyDescent="0.25">
      <c r="A178" s="22">
        <v>511</v>
      </c>
      <c r="B178" s="22">
        <v>1</v>
      </c>
      <c r="C178" s="22">
        <v>-1</v>
      </c>
      <c r="D178" s="22">
        <v>-1</v>
      </c>
      <c r="E178" s="22">
        <v>-1</v>
      </c>
      <c r="F178" s="22">
        <v>1</v>
      </c>
      <c r="G178" s="22">
        <v>0</v>
      </c>
      <c r="H178" s="22">
        <v>1</v>
      </c>
    </row>
    <row r="179" spans="1:8" x14ac:dyDescent="0.25">
      <c r="A179" s="22">
        <v>511</v>
      </c>
      <c r="B179" s="22">
        <v>0</v>
      </c>
      <c r="C179" s="22">
        <v>0</v>
      </c>
      <c r="D179" s="22">
        <v>1</v>
      </c>
      <c r="E179" s="22">
        <v>-1</v>
      </c>
      <c r="F179" s="22">
        <v>-1</v>
      </c>
      <c r="G179" s="22">
        <v>-1</v>
      </c>
      <c r="H179" s="22">
        <v>-1</v>
      </c>
    </row>
    <row r="180" spans="1:8" x14ac:dyDescent="0.25">
      <c r="A180" s="22">
        <v>512</v>
      </c>
      <c r="B180" s="22">
        <v>0</v>
      </c>
      <c r="C180" s="22">
        <v>-1</v>
      </c>
      <c r="D180" s="22">
        <v>-1</v>
      </c>
      <c r="E180" s="22">
        <v>1</v>
      </c>
      <c r="F180" s="22">
        <v>1</v>
      </c>
      <c r="G180" s="22">
        <v>-1</v>
      </c>
      <c r="H180" s="22">
        <v>-1</v>
      </c>
    </row>
    <row r="181" spans="1:8" x14ac:dyDescent="0.25">
      <c r="A181" s="22">
        <v>512</v>
      </c>
      <c r="B181" s="22">
        <v>1</v>
      </c>
      <c r="C181" s="22">
        <v>1</v>
      </c>
      <c r="D181" s="22">
        <v>0</v>
      </c>
      <c r="E181" s="22">
        <v>1</v>
      </c>
      <c r="F181" s="22">
        <v>1</v>
      </c>
      <c r="G181" s="22">
        <v>1</v>
      </c>
      <c r="H181" s="22">
        <v>0</v>
      </c>
    </row>
    <row r="182" spans="1:8" x14ac:dyDescent="0.25">
      <c r="A182" s="22">
        <v>512</v>
      </c>
      <c r="B182" s="22">
        <v>0</v>
      </c>
      <c r="C182" s="22">
        <v>-1</v>
      </c>
      <c r="D182" s="22">
        <v>-1</v>
      </c>
      <c r="E182" s="22">
        <v>1</v>
      </c>
      <c r="F182" s="22">
        <v>-1</v>
      </c>
      <c r="G182" s="22">
        <v>0</v>
      </c>
      <c r="H182" s="22">
        <v>1</v>
      </c>
    </row>
    <row r="183" spans="1:8" x14ac:dyDescent="0.25">
      <c r="A183" s="22">
        <v>601</v>
      </c>
      <c r="B183" s="22">
        <v>0</v>
      </c>
      <c r="C183" s="22">
        <v>0</v>
      </c>
      <c r="D183" s="22">
        <v>1</v>
      </c>
      <c r="E183" s="22">
        <v>-1</v>
      </c>
      <c r="F183" s="22">
        <v>1</v>
      </c>
      <c r="G183" s="22">
        <v>-1</v>
      </c>
      <c r="H183" s="22">
        <v>-1</v>
      </c>
    </row>
    <row r="184" spans="1:8" x14ac:dyDescent="0.25">
      <c r="A184" s="22">
        <v>601</v>
      </c>
      <c r="B184" s="22">
        <v>0</v>
      </c>
      <c r="C184" s="22">
        <v>1</v>
      </c>
      <c r="D184" s="22">
        <v>0</v>
      </c>
      <c r="E184" s="22">
        <v>1</v>
      </c>
      <c r="F184" s="22">
        <v>-1</v>
      </c>
      <c r="G184" s="22">
        <v>-1</v>
      </c>
      <c r="H184" s="22">
        <v>-1</v>
      </c>
    </row>
    <row r="185" spans="1:8" x14ac:dyDescent="0.25">
      <c r="A185" s="22">
        <v>601</v>
      </c>
      <c r="B185" s="22">
        <v>1</v>
      </c>
      <c r="C185" s="22">
        <v>0</v>
      </c>
      <c r="D185" s="22">
        <v>1</v>
      </c>
      <c r="E185" s="22">
        <v>1</v>
      </c>
      <c r="F185" s="22">
        <v>1</v>
      </c>
      <c r="G185" s="22">
        <v>1</v>
      </c>
      <c r="H185" s="22">
        <v>0</v>
      </c>
    </row>
    <row r="186" spans="1:8" x14ac:dyDescent="0.25">
      <c r="A186" s="22">
        <v>602</v>
      </c>
      <c r="B186" s="22">
        <v>0</v>
      </c>
      <c r="C186" s="22">
        <v>0</v>
      </c>
      <c r="D186" s="22">
        <v>1</v>
      </c>
      <c r="E186" s="22">
        <v>1</v>
      </c>
      <c r="F186" s="22">
        <v>-1</v>
      </c>
      <c r="G186" s="22">
        <v>0</v>
      </c>
      <c r="H186" s="22">
        <v>1</v>
      </c>
    </row>
    <row r="187" spans="1:8" x14ac:dyDescent="0.25">
      <c r="A187" s="22">
        <v>602</v>
      </c>
      <c r="B187" s="22">
        <v>0</v>
      </c>
      <c r="C187" s="22">
        <v>1</v>
      </c>
      <c r="D187" s="22">
        <v>0</v>
      </c>
      <c r="E187" s="22">
        <v>-1</v>
      </c>
      <c r="F187" s="22">
        <v>-1</v>
      </c>
      <c r="G187" s="22">
        <v>1</v>
      </c>
      <c r="H187" s="22">
        <v>0</v>
      </c>
    </row>
    <row r="188" spans="1:8" x14ac:dyDescent="0.25">
      <c r="A188" s="22">
        <v>602</v>
      </c>
      <c r="B188" s="22">
        <v>1</v>
      </c>
      <c r="C188" s="22">
        <v>1</v>
      </c>
      <c r="D188" s="22">
        <v>0</v>
      </c>
      <c r="E188" s="22">
        <v>1</v>
      </c>
      <c r="F188" s="22">
        <v>1</v>
      </c>
      <c r="G188" s="22">
        <v>1</v>
      </c>
      <c r="H188" s="22">
        <v>0</v>
      </c>
    </row>
    <row r="189" spans="1:8" x14ac:dyDescent="0.25">
      <c r="A189" s="22">
        <v>603</v>
      </c>
      <c r="B189" s="22">
        <v>1</v>
      </c>
      <c r="C189" s="22">
        <v>1</v>
      </c>
      <c r="D189" s="22">
        <v>0</v>
      </c>
      <c r="E189" s="22">
        <v>-1</v>
      </c>
      <c r="F189" s="22">
        <v>-1</v>
      </c>
      <c r="G189" s="22">
        <v>1</v>
      </c>
      <c r="H189" s="22">
        <v>0</v>
      </c>
    </row>
    <row r="190" spans="1:8" x14ac:dyDescent="0.25">
      <c r="A190" s="22">
        <v>603</v>
      </c>
      <c r="B190" s="22">
        <v>0</v>
      </c>
      <c r="C190" s="22">
        <v>-1</v>
      </c>
      <c r="D190" s="22">
        <v>-1</v>
      </c>
      <c r="E190" s="22">
        <v>1</v>
      </c>
      <c r="F190" s="22">
        <v>-1</v>
      </c>
      <c r="G190" s="22">
        <v>0</v>
      </c>
      <c r="H190" s="22">
        <v>1</v>
      </c>
    </row>
    <row r="191" spans="1:8" x14ac:dyDescent="0.25">
      <c r="A191" s="22">
        <v>603</v>
      </c>
      <c r="B191" s="22">
        <v>0</v>
      </c>
      <c r="C191" s="22">
        <v>1</v>
      </c>
      <c r="D191" s="22">
        <v>0</v>
      </c>
      <c r="E191" s="22">
        <v>1</v>
      </c>
      <c r="F191" s="22">
        <v>-1</v>
      </c>
      <c r="G191" s="22">
        <v>-1</v>
      </c>
      <c r="H191" s="22">
        <v>-1</v>
      </c>
    </row>
    <row r="192" spans="1:8" x14ac:dyDescent="0.25">
      <c r="A192" s="22">
        <v>604</v>
      </c>
      <c r="B192" s="22">
        <v>0</v>
      </c>
      <c r="C192" s="22">
        <v>1</v>
      </c>
      <c r="D192" s="22">
        <v>0</v>
      </c>
      <c r="E192" s="22">
        <v>1</v>
      </c>
      <c r="F192" s="22">
        <v>-1</v>
      </c>
      <c r="G192" s="22">
        <v>-1</v>
      </c>
      <c r="H192" s="22">
        <v>-1</v>
      </c>
    </row>
    <row r="193" spans="1:8" x14ac:dyDescent="0.25">
      <c r="A193" s="22">
        <v>604</v>
      </c>
      <c r="B193" s="22">
        <v>0</v>
      </c>
      <c r="C193" s="22">
        <v>-1</v>
      </c>
      <c r="D193" s="22">
        <v>-1</v>
      </c>
      <c r="E193" s="22">
        <v>1</v>
      </c>
      <c r="F193" s="22">
        <v>1</v>
      </c>
      <c r="G193" s="22">
        <v>-1</v>
      </c>
      <c r="H193" s="22">
        <v>-1</v>
      </c>
    </row>
    <row r="194" spans="1:8" x14ac:dyDescent="0.25">
      <c r="A194" s="22">
        <v>604</v>
      </c>
      <c r="B194" s="22">
        <v>1</v>
      </c>
      <c r="C194" s="22">
        <v>1</v>
      </c>
      <c r="D194" s="22">
        <v>0</v>
      </c>
      <c r="E194" s="22">
        <v>-1</v>
      </c>
      <c r="F194" s="22">
        <v>-1</v>
      </c>
      <c r="G194" s="22">
        <v>1</v>
      </c>
      <c r="H194" s="22">
        <v>0</v>
      </c>
    </row>
    <row r="195" spans="1:8" x14ac:dyDescent="0.25">
      <c r="A195" s="22">
        <v>605</v>
      </c>
      <c r="B195" s="22">
        <v>1</v>
      </c>
      <c r="C195" s="22">
        <v>-1</v>
      </c>
      <c r="D195" s="22">
        <v>-1</v>
      </c>
      <c r="E195" s="22">
        <v>-1</v>
      </c>
      <c r="F195" s="22">
        <v>-1</v>
      </c>
      <c r="G195" s="22">
        <v>1</v>
      </c>
      <c r="H195" s="22">
        <v>0</v>
      </c>
    </row>
    <row r="196" spans="1:8" x14ac:dyDescent="0.25">
      <c r="A196" s="22">
        <v>605</v>
      </c>
      <c r="B196" s="22">
        <v>0</v>
      </c>
      <c r="C196" s="22">
        <v>0</v>
      </c>
      <c r="D196" s="22">
        <v>1</v>
      </c>
      <c r="E196" s="22">
        <v>1</v>
      </c>
      <c r="F196" s="22">
        <v>1</v>
      </c>
      <c r="G196" s="22">
        <v>1</v>
      </c>
      <c r="H196" s="22">
        <v>0</v>
      </c>
    </row>
    <row r="197" spans="1:8" x14ac:dyDescent="0.25">
      <c r="A197" s="22">
        <v>605</v>
      </c>
      <c r="B197" s="22">
        <v>0</v>
      </c>
      <c r="C197" s="22">
        <v>1</v>
      </c>
      <c r="D197" s="22">
        <v>0</v>
      </c>
      <c r="E197" s="22">
        <v>-1</v>
      </c>
      <c r="F197" s="22">
        <v>1</v>
      </c>
      <c r="G197" s="22">
        <v>0</v>
      </c>
      <c r="H197" s="22">
        <v>1</v>
      </c>
    </row>
    <row r="198" spans="1:8" x14ac:dyDescent="0.25">
      <c r="A198" s="22">
        <v>606</v>
      </c>
      <c r="B198" s="22">
        <v>1</v>
      </c>
      <c r="C198" s="22">
        <v>1</v>
      </c>
      <c r="D198" s="22">
        <v>0</v>
      </c>
      <c r="E198" s="22">
        <v>-1</v>
      </c>
      <c r="F198" s="22">
        <v>1</v>
      </c>
      <c r="G198" s="22">
        <v>0</v>
      </c>
      <c r="H198" s="22">
        <v>1</v>
      </c>
    </row>
    <row r="199" spans="1:8" x14ac:dyDescent="0.25">
      <c r="A199" s="22">
        <v>606</v>
      </c>
      <c r="B199" s="22">
        <v>0</v>
      </c>
      <c r="C199" s="22">
        <v>0</v>
      </c>
      <c r="D199" s="22">
        <v>1</v>
      </c>
      <c r="E199" s="22">
        <v>1</v>
      </c>
      <c r="F199" s="22">
        <v>-1</v>
      </c>
      <c r="G199" s="22">
        <v>0</v>
      </c>
      <c r="H199" s="22">
        <v>1</v>
      </c>
    </row>
    <row r="200" spans="1:8" x14ac:dyDescent="0.25">
      <c r="A200" s="22">
        <v>606</v>
      </c>
      <c r="B200" s="22">
        <v>0</v>
      </c>
      <c r="C200" s="22">
        <v>0</v>
      </c>
      <c r="D200" s="22">
        <v>1</v>
      </c>
      <c r="E200" s="22">
        <v>-1</v>
      </c>
      <c r="F200" s="22">
        <v>1</v>
      </c>
      <c r="G200" s="22">
        <v>-1</v>
      </c>
      <c r="H200" s="22">
        <v>-1</v>
      </c>
    </row>
    <row r="201" spans="1:8" x14ac:dyDescent="0.25">
      <c r="A201" s="22">
        <v>607</v>
      </c>
      <c r="B201" s="22">
        <v>1</v>
      </c>
      <c r="C201" s="22">
        <v>-1</v>
      </c>
      <c r="D201" s="22">
        <v>-1</v>
      </c>
      <c r="E201" s="22">
        <v>-1</v>
      </c>
      <c r="F201" s="22">
        <v>1</v>
      </c>
      <c r="G201" s="22">
        <v>0</v>
      </c>
      <c r="H201" s="22">
        <v>1</v>
      </c>
    </row>
    <row r="202" spans="1:8" x14ac:dyDescent="0.25">
      <c r="A202" s="22">
        <v>607</v>
      </c>
      <c r="B202" s="22">
        <v>0</v>
      </c>
      <c r="C202" s="22">
        <v>0</v>
      </c>
      <c r="D202" s="22">
        <v>1</v>
      </c>
      <c r="E202" s="22">
        <v>-1</v>
      </c>
      <c r="F202" s="22">
        <v>-1</v>
      </c>
      <c r="G202" s="22">
        <v>-1</v>
      </c>
      <c r="H202" s="22">
        <v>-1</v>
      </c>
    </row>
    <row r="203" spans="1:8" x14ac:dyDescent="0.25">
      <c r="A203" s="22">
        <v>607</v>
      </c>
      <c r="B203" s="22">
        <v>0</v>
      </c>
      <c r="C203" s="22">
        <v>-1</v>
      </c>
      <c r="D203" s="22">
        <v>-1</v>
      </c>
      <c r="E203" s="22">
        <v>1</v>
      </c>
      <c r="F203" s="22">
        <v>1</v>
      </c>
      <c r="G203" s="22">
        <v>-1</v>
      </c>
      <c r="H203" s="22">
        <v>-1</v>
      </c>
    </row>
    <row r="204" spans="1:8" x14ac:dyDescent="0.25">
      <c r="A204" s="22">
        <v>608</v>
      </c>
      <c r="B204" s="22">
        <v>1</v>
      </c>
      <c r="C204" s="22">
        <v>1</v>
      </c>
      <c r="D204" s="22">
        <v>0</v>
      </c>
      <c r="E204" s="22">
        <v>1</v>
      </c>
      <c r="F204" s="22">
        <v>1</v>
      </c>
      <c r="G204" s="22">
        <v>1</v>
      </c>
      <c r="H204" s="22">
        <v>0</v>
      </c>
    </row>
    <row r="205" spans="1:8" x14ac:dyDescent="0.25">
      <c r="A205" s="22">
        <v>608</v>
      </c>
      <c r="B205" s="22">
        <v>0</v>
      </c>
      <c r="C205" s="22">
        <v>1</v>
      </c>
      <c r="D205" s="22">
        <v>0</v>
      </c>
      <c r="E205" s="22">
        <v>-1</v>
      </c>
      <c r="F205" s="22">
        <v>1</v>
      </c>
      <c r="G205" s="22">
        <v>0</v>
      </c>
      <c r="H205" s="22">
        <v>1</v>
      </c>
    </row>
    <row r="206" spans="1:8" x14ac:dyDescent="0.25">
      <c r="A206" s="22">
        <v>608</v>
      </c>
      <c r="B206" s="22">
        <v>0</v>
      </c>
      <c r="C206" s="22">
        <v>-1</v>
      </c>
      <c r="D206" s="22">
        <v>-1</v>
      </c>
      <c r="E206" s="22">
        <v>-1</v>
      </c>
      <c r="F206" s="22">
        <v>-1</v>
      </c>
      <c r="G206" s="22">
        <v>1</v>
      </c>
      <c r="H206" s="22">
        <v>0</v>
      </c>
    </row>
    <row r="207" spans="1:8" x14ac:dyDescent="0.25">
      <c r="A207" s="22">
        <v>609</v>
      </c>
      <c r="B207" s="22">
        <v>0</v>
      </c>
      <c r="C207" s="22">
        <v>0</v>
      </c>
      <c r="D207" s="22">
        <v>1</v>
      </c>
      <c r="E207" s="22">
        <v>-1</v>
      </c>
      <c r="F207" s="22">
        <v>-1</v>
      </c>
      <c r="G207" s="22">
        <v>-1</v>
      </c>
      <c r="H207" s="22">
        <v>-1</v>
      </c>
    </row>
    <row r="208" spans="1:8" x14ac:dyDescent="0.25">
      <c r="A208" s="22">
        <v>609</v>
      </c>
      <c r="B208" s="22">
        <v>0</v>
      </c>
      <c r="C208" s="22">
        <v>0</v>
      </c>
      <c r="D208" s="22">
        <v>1</v>
      </c>
      <c r="E208" s="22">
        <v>-1</v>
      </c>
      <c r="F208" s="22">
        <v>1</v>
      </c>
      <c r="G208" s="22">
        <v>-1</v>
      </c>
      <c r="H208" s="22">
        <v>-1</v>
      </c>
    </row>
    <row r="209" spans="1:8" x14ac:dyDescent="0.25">
      <c r="A209" s="22">
        <v>609</v>
      </c>
      <c r="B209" s="22">
        <v>1</v>
      </c>
      <c r="C209" s="22">
        <v>0</v>
      </c>
      <c r="D209" s="22">
        <v>1</v>
      </c>
      <c r="E209" s="22">
        <v>1</v>
      </c>
      <c r="F209" s="22">
        <v>-1</v>
      </c>
      <c r="G209" s="22">
        <v>0</v>
      </c>
      <c r="H209" s="22">
        <v>1</v>
      </c>
    </row>
    <row r="210" spans="1:8" x14ac:dyDescent="0.25">
      <c r="A210" s="22">
        <v>610</v>
      </c>
      <c r="B210" s="22">
        <v>0</v>
      </c>
      <c r="C210" s="22">
        <v>0</v>
      </c>
      <c r="D210" s="22">
        <v>1</v>
      </c>
      <c r="E210" s="22">
        <v>1</v>
      </c>
      <c r="F210" s="22">
        <v>1</v>
      </c>
      <c r="G210" s="22">
        <v>1</v>
      </c>
      <c r="H210" s="22">
        <v>0</v>
      </c>
    </row>
    <row r="211" spans="1:8" x14ac:dyDescent="0.25">
      <c r="A211" s="22">
        <v>610</v>
      </c>
      <c r="B211" s="22">
        <v>1</v>
      </c>
      <c r="C211" s="22">
        <v>-1</v>
      </c>
      <c r="D211" s="22">
        <v>-1</v>
      </c>
      <c r="E211" s="22">
        <v>-1</v>
      </c>
      <c r="F211" s="22">
        <v>-1</v>
      </c>
      <c r="G211" s="22">
        <v>1</v>
      </c>
      <c r="H211" s="22">
        <v>0</v>
      </c>
    </row>
    <row r="212" spans="1:8" x14ac:dyDescent="0.25">
      <c r="A212" s="22">
        <v>610</v>
      </c>
      <c r="B212" s="22">
        <v>0</v>
      </c>
      <c r="C212" s="22">
        <v>-1</v>
      </c>
      <c r="D212" s="22">
        <v>-1</v>
      </c>
      <c r="E212" s="22">
        <v>-1</v>
      </c>
      <c r="F212" s="22">
        <v>1</v>
      </c>
      <c r="G212" s="22">
        <v>0</v>
      </c>
      <c r="H212" s="22">
        <v>1</v>
      </c>
    </row>
    <row r="213" spans="1:8" x14ac:dyDescent="0.25">
      <c r="A213" s="22">
        <v>611</v>
      </c>
      <c r="B213" s="22">
        <v>0</v>
      </c>
      <c r="C213" s="22">
        <v>-1</v>
      </c>
      <c r="D213" s="22">
        <v>-1</v>
      </c>
      <c r="E213" s="22">
        <v>1</v>
      </c>
      <c r="F213" s="22">
        <v>-1</v>
      </c>
      <c r="G213" s="22">
        <v>0</v>
      </c>
      <c r="H213" s="22">
        <v>1</v>
      </c>
    </row>
    <row r="214" spans="1:8" x14ac:dyDescent="0.25">
      <c r="A214" s="22">
        <v>611</v>
      </c>
      <c r="B214" s="22">
        <v>1</v>
      </c>
      <c r="C214" s="22">
        <v>-1</v>
      </c>
      <c r="D214" s="22">
        <v>-1</v>
      </c>
      <c r="E214" s="22">
        <v>-1</v>
      </c>
      <c r="F214" s="22">
        <v>1</v>
      </c>
      <c r="G214" s="22">
        <v>0</v>
      </c>
      <c r="H214" s="22">
        <v>1</v>
      </c>
    </row>
    <row r="215" spans="1:8" x14ac:dyDescent="0.25">
      <c r="A215" s="22">
        <v>611</v>
      </c>
      <c r="B215" s="22">
        <v>0</v>
      </c>
      <c r="C215" s="22">
        <v>0</v>
      </c>
      <c r="D215" s="22">
        <v>1</v>
      </c>
      <c r="E215" s="22">
        <v>-1</v>
      </c>
      <c r="F215" s="22">
        <v>-1</v>
      </c>
      <c r="G215" s="22">
        <v>-1</v>
      </c>
      <c r="H215" s="22">
        <v>-1</v>
      </c>
    </row>
    <row r="216" spans="1:8" x14ac:dyDescent="0.25">
      <c r="A216" s="22">
        <v>612</v>
      </c>
      <c r="B216" s="22">
        <v>0</v>
      </c>
      <c r="C216" s="22">
        <v>-1</v>
      </c>
      <c r="D216" s="22">
        <v>-1</v>
      </c>
      <c r="E216" s="22">
        <v>1</v>
      </c>
      <c r="F216" s="22">
        <v>1</v>
      </c>
      <c r="G216" s="22">
        <v>-1</v>
      </c>
      <c r="H216" s="22">
        <v>-1</v>
      </c>
    </row>
    <row r="217" spans="1:8" x14ac:dyDescent="0.25">
      <c r="A217" s="22">
        <v>612</v>
      </c>
      <c r="B217" s="22">
        <v>1</v>
      </c>
      <c r="C217" s="22">
        <v>1</v>
      </c>
      <c r="D217" s="22">
        <v>0</v>
      </c>
      <c r="E217" s="22">
        <v>1</v>
      </c>
      <c r="F217" s="22">
        <v>1</v>
      </c>
      <c r="G217" s="22">
        <v>1</v>
      </c>
      <c r="H217" s="22">
        <v>0</v>
      </c>
    </row>
    <row r="218" spans="1:8" x14ac:dyDescent="0.25">
      <c r="A218" s="22">
        <v>612</v>
      </c>
      <c r="B218" s="22">
        <v>0</v>
      </c>
      <c r="C218" s="22">
        <v>-1</v>
      </c>
      <c r="D218" s="22">
        <v>-1</v>
      </c>
      <c r="E218" s="22">
        <v>1</v>
      </c>
      <c r="F218" s="22">
        <v>-1</v>
      </c>
      <c r="G218" s="22">
        <v>0</v>
      </c>
      <c r="H218" s="22">
        <v>1</v>
      </c>
    </row>
    <row r="219" spans="1:8" x14ac:dyDescent="0.25">
      <c r="A219" s="22">
        <v>701</v>
      </c>
      <c r="B219" s="22">
        <v>0</v>
      </c>
      <c r="C219" s="22">
        <v>0</v>
      </c>
      <c r="D219" s="22">
        <v>1</v>
      </c>
      <c r="E219" s="22">
        <v>-1</v>
      </c>
      <c r="F219" s="22">
        <v>1</v>
      </c>
      <c r="G219" s="22">
        <v>-1</v>
      </c>
      <c r="H219" s="22">
        <v>-1</v>
      </c>
    </row>
    <row r="220" spans="1:8" x14ac:dyDescent="0.25">
      <c r="A220" s="22">
        <v>701</v>
      </c>
      <c r="B220" s="22">
        <v>0</v>
      </c>
      <c r="C220" s="22">
        <v>1</v>
      </c>
      <c r="D220" s="22">
        <v>0</v>
      </c>
      <c r="E220" s="22">
        <v>1</v>
      </c>
      <c r="F220" s="22">
        <v>-1</v>
      </c>
      <c r="G220" s="22">
        <v>-1</v>
      </c>
      <c r="H220" s="22">
        <v>-1</v>
      </c>
    </row>
    <row r="221" spans="1:8" x14ac:dyDescent="0.25">
      <c r="A221" s="22">
        <v>701</v>
      </c>
      <c r="B221" s="22">
        <v>1</v>
      </c>
      <c r="C221" s="22">
        <v>0</v>
      </c>
      <c r="D221" s="22">
        <v>1</v>
      </c>
      <c r="E221" s="22">
        <v>1</v>
      </c>
      <c r="F221" s="22">
        <v>1</v>
      </c>
      <c r="G221" s="22">
        <v>1</v>
      </c>
      <c r="H221" s="22">
        <v>0</v>
      </c>
    </row>
    <row r="222" spans="1:8" x14ac:dyDescent="0.25">
      <c r="A222" s="22">
        <v>702</v>
      </c>
      <c r="B222" s="22">
        <v>0</v>
      </c>
      <c r="C222" s="22">
        <v>0</v>
      </c>
      <c r="D222" s="22">
        <v>1</v>
      </c>
      <c r="E222" s="22">
        <v>1</v>
      </c>
      <c r="F222" s="22">
        <v>-1</v>
      </c>
      <c r="G222" s="22">
        <v>0</v>
      </c>
      <c r="H222" s="22">
        <v>1</v>
      </c>
    </row>
    <row r="223" spans="1:8" x14ac:dyDescent="0.25">
      <c r="A223" s="22">
        <v>702</v>
      </c>
      <c r="B223" s="22">
        <v>0</v>
      </c>
      <c r="C223" s="22">
        <v>1</v>
      </c>
      <c r="D223" s="22">
        <v>0</v>
      </c>
      <c r="E223" s="22">
        <v>-1</v>
      </c>
      <c r="F223" s="22">
        <v>-1</v>
      </c>
      <c r="G223" s="22">
        <v>1</v>
      </c>
      <c r="H223" s="22">
        <v>0</v>
      </c>
    </row>
    <row r="224" spans="1:8" x14ac:dyDescent="0.25">
      <c r="A224" s="22">
        <v>702</v>
      </c>
      <c r="B224" s="22">
        <v>1</v>
      </c>
      <c r="C224" s="22">
        <v>1</v>
      </c>
      <c r="D224" s="22">
        <v>0</v>
      </c>
      <c r="E224" s="22">
        <v>1</v>
      </c>
      <c r="F224" s="22">
        <v>1</v>
      </c>
      <c r="G224" s="22">
        <v>1</v>
      </c>
      <c r="H224" s="22">
        <v>0</v>
      </c>
    </row>
    <row r="225" spans="1:8" x14ac:dyDescent="0.25">
      <c r="A225" s="22">
        <v>703</v>
      </c>
      <c r="B225" s="22">
        <v>1</v>
      </c>
      <c r="C225" s="22">
        <v>1</v>
      </c>
      <c r="D225" s="22">
        <v>0</v>
      </c>
      <c r="E225" s="22">
        <v>-1</v>
      </c>
      <c r="F225" s="22">
        <v>-1</v>
      </c>
      <c r="G225" s="22">
        <v>1</v>
      </c>
      <c r="H225" s="22">
        <v>0</v>
      </c>
    </row>
    <row r="226" spans="1:8" x14ac:dyDescent="0.25">
      <c r="A226" s="22">
        <v>703</v>
      </c>
      <c r="B226" s="22">
        <v>0</v>
      </c>
      <c r="C226" s="22">
        <v>-1</v>
      </c>
      <c r="D226" s="22">
        <v>-1</v>
      </c>
      <c r="E226" s="22">
        <v>1</v>
      </c>
      <c r="F226" s="22">
        <v>-1</v>
      </c>
      <c r="G226" s="22">
        <v>0</v>
      </c>
      <c r="H226" s="22">
        <v>1</v>
      </c>
    </row>
    <row r="227" spans="1:8" x14ac:dyDescent="0.25">
      <c r="A227" s="22">
        <v>703</v>
      </c>
      <c r="B227" s="22">
        <v>0</v>
      </c>
      <c r="C227" s="22">
        <v>1</v>
      </c>
      <c r="D227" s="22">
        <v>0</v>
      </c>
      <c r="E227" s="22">
        <v>1</v>
      </c>
      <c r="F227" s="22">
        <v>-1</v>
      </c>
      <c r="G227" s="22">
        <v>-1</v>
      </c>
      <c r="H227" s="22">
        <v>-1</v>
      </c>
    </row>
    <row r="228" spans="1:8" x14ac:dyDescent="0.25">
      <c r="A228" s="22">
        <v>704</v>
      </c>
      <c r="B228" s="22">
        <v>0</v>
      </c>
      <c r="C228" s="22">
        <v>1</v>
      </c>
      <c r="D228" s="22">
        <v>0</v>
      </c>
      <c r="E228" s="22">
        <v>1</v>
      </c>
      <c r="F228" s="22">
        <v>-1</v>
      </c>
      <c r="G228" s="22">
        <v>-1</v>
      </c>
      <c r="H228" s="22">
        <v>-1</v>
      </c>
    </row>
    <row r="229" spans="1:8" x14ac:dyDescent="0.25">
      <c r="A229" s="22">
        <v>704</v>
      </c>
      <c r="B229" s="22">
        <v>0</v>
      </c>
      <c r="C229" s="22">
        <v>-1</v>
      </c>
      <c r="D229" s="22">
        <v>-1</v>
      </c>
      <c r="E229" s="22">
        <v>1</v>
      </c>
      <c r="F229" s="22">
        <v>1</v>
      </c>
      <c r="G229" s="22">
        <v>-1</v>
      </c>
      <c r="H229" s="22">
        <v>-1</v>
      </c>
    </row>
    <row r="230" spans="1:8" x14ac:dyDescent="0.25">
      <c r="A230" s="22">
        <v>704</v>
      </c>
      <c r="B230" s="22">
        <v>1</v>
      </c>
      <c r="C230" s="22">
        <v>1</v>
      </c>
      <c r="D230" s="22">
        <v>0</v>
      </c>
      <c r="E230" s="22">
        <v>-1</v>
      </c>
      <c r="F230" s="22">
        <v>-1</v>
      </c>
      <c r="G230" s="22">
        <v>1</v>
      </c>
      <c r="H230" s="22">
        <v>0</v>
      </c>
    </row>
    <row r="231" spans="1:8" x14ac:dyDescent="0.25">
      <c r="A231" s="22">
        <v>705</v>
      </c>
      <c r="B231" s="22">
        <v>1</v>
      </c>
      <c r="C231" s="22">
        <v>-1</v>
      </c>
      <c r="D231" s="22">
        <v>-1</v>
      </c>
      <c r="E231" s="22">
        <v>-1</v>
      </c>
      <c r="F231" s="22">
        <v>-1</v>
      </c>
      <c r="G231" s="22">
        <v>1</v>
      </c>
      <c r="H231" s="22">
        <v>0</v>
      </c>
    </row>
    <row r="232" spans="1:8" x14ac:dyDescent="0.25">
      <c r="A232" s="22">
        <v>705</v>
      </c>
      <c r="B232" s="22">
        <v>0</v>
      </c>
      <c r="C232" s="22">
        <v>0</v>
      </c>
      <c r="D232" s="22">
        <v>1</v>
      </c>
      <c r="E232" s="22">
        <v>1</v>
      </c>
      <c r="F232" s="22">
        <v>1</v>
      </c>
      <c r="G232" s="22">
        <v>1</v>
      </c>
      <c r="H232" s="22">
        <v>0</v>
      </c>
    </row>
    <row r="233" spans="1:8" x14ac:dyDescent="0.25">
      <c r="A233" s="22">
        <v>705</v>
      </c>
      <c r="B233" s="22">
        <v>0</v>
      </c>
      <c r="C233" s="22">
        <v>1</v>
      </c>
      <c r="D233" s="22">
        <v>0</v>
      </c>
      <c r="E233" s="22">
        <v>-1</v>
      </c>
      <c r="F233" s="22">
        <v>1</v>
      </c>
      <c r="G233" s="22">
        <v>0</v>
      </c>
      <c r="H233" s="22">
        <v>1</v>
      </c>
    </row>
    <row r="234" spans="1:8" x14ac:dyDescent="0.25">
      <c r="A234" s="22">
        <v>706</v>
      </c>
      <c r="B234" s="22">
        <v>1</v>
      </c>
      <c r="C234" s="22">
        <v>1</v>
      </c>
      <c r="D234" s="22">
        <v>0</v>
      </c>
      <c r="E234" s="22">
        <v>-1</v>
      </c>
      <c r="F234" s="22">
        <v>1</v>
      </c>
      <c r="G234" s="22">
        <v>0</v>
      </c>
      <c r="H234" s="22">
        <v>1</v>
      </c>
    </row>
    <row r="235" spans="1:8" x14ac:dyDescent="0.25">
      <c r="A235" s="22">
        <v>706</v>
      </c>
      <c r="B235" s="22">
        <v>0</v>
      </c>
      <c r="C235" s="22">
        <v>0</v>
      </c>
      <c r="D235" s="22">
        <v>1</v>
      </c>
      <c r="E235" s="22">
        <v>1</v>
      </c>
      <c r="F235" s="22">
        <v>-1</v>
      </c>
      <c r="G235" s="22">
        <v>0</v>
      </c>
      <c r="H235" s="22">
        <v>1</v>
      </c>
    </row>
    <row r="236" spans="1:8" x14ac:dyDescent="0.25">
      <c r="A236" s="22">
        <v>706</v>
      </c>
      <c r="B236" s="22">
        <v>0</v>
      </c>
      <c r="C236" s="22">
        <v>0</v>
      </c>
      <c r="D236" s="22">
        <v>1</v>
      </c>
      <c r="E236" s="22">
        <v>-1</v>
      </c>
      <c r="F236" s="22">
        <v>1</v>
      </c>
      <c r="G236" s="22">
        <v>-1</v>
      </c>
      <c r="H236" s="22">
        <v>-1</v>
      </c>
    </row>
    <row r="237" spans="1:8" x14ac:dyDescent="0.25">
      <c r="A237" s="22">
        <v>707</v>
      </c>
      <c r="B237" s="22">
        <v>1</v>
      </c>
      <c r="C237" s="22">
        <v>-1</v>
      </c>
      <c r="D237" s="22">
        <v>-1</v>
      </c>
      <c r="E237" s="22">
        <v>-1</v>
      </c>
      <c r="F237" s="22">
        <v>1</v>
      </c>
      <c r="G237" s="22">
        <v>0</v>
      </c>
      <c r="H237" s="22">
        <v>1</v>
      </c>
    </row>
    <row r="238" spans="1:8" x14ac:dyDescent="0.25">
      <c r="A238" s="22">
        <v>707</v>
      </c>
      <c r="B238" s="22">
        <v>0</v>
      </c>
      <c r="C238" s="22">
        <v>0</v>
      </c>
      <c r="D238" s="22">
        <v>1</v>
      </c>
      <c r="E238" s="22">
        <v>-1</v>
      </c>
      <c r="F238" s="22">
        <v>-1</v>
      </c>
      <c r="G238" s="22">
        <v>-1</v>
      </c>
      <c r="H238" s="22">
        <v>-1</v>
      </c>
    </row>
    <row r="239" spans="1:8" x14ac:dyDescent="0.25">
      <c r="A239" s="22">
        <v>707</v>
      </c>
      <c r="B239" s="22">
        <v>0</v>
      </c>
      <c r="C239" s="22">
        <v>-1</v>
      </c>
      <c r="D239" s="22">
        <v>-1</v>
      </c>
      <c r="E239" s="22">
        <v>1</v>
      </c>
      <c r="F239" s="22">
        <v>1</v>
      </c>
      <c r="G239" s="22">
        <v>-1</v>
      </c>
      <c r="H239" s="22">
        <v>-1</v>
      </c>
    </row>
    <row r="240" spans="1:8" x14ac:dyDescent="0.25">
      <c r="A240" s="22">
        <v>708</v>
      </c>
      <c r="B240" s="22">
        <v>1</v>
      </c>
      <c r="C240" s="22">
        <v>1</v>
      </c>
      <c r="D240" s="22">
        <v>0</v>
      </c>
      <c r="E240" s="22">
        <v>1</v>
      </c>
      <c r="F240" s="22">
        <v>1</v>
      </c>
      <c r="G240" s="22">
        <v>1</v>
      </c>
      <c r="H240" s="22">
        <v>0</v>
      </c>
    </row>
    <row r="241" spans="1:8" x14ac:dyDescent="0.25">
      <c r="A241" s="22">
        <v>708</v>
      </c>
      <c r="B241" s="22">
        <v>0</v>
      </c>
      <c r="C241" s="22">
        <v>1</v>
      </c>
      <c r="D241" s="22">
        <v>0</v>
      </c>
      <c r="E241" s="22">
        <v>-1</v>
      </c>
      <c r="F241" s="22">
        <v>1</v>
      </c>
      <c r="G241" s="22">
        <v>0</v>
      </c>
      <c r="H241" s="22">
        <v>1</v>
      </c>
    </row>
    <row r="242" spans="1:8" x14ac:dyDescent="0.25">
      <c r="A242" s="22">
        <v>708</v>
      </c>
      <c r="B242" s="22">
        <v>0</v>
      </c>
      <c r="C242" s="22">
        <v>-1</v>
      </c>
      <c r="D242" s="22">
        <v>-1</v>
      </c>
      <c r="E242" s="22">
        <v>-1</v>
      </c>
      <c r="F242" s="22">
        <v>-1</v>
      </c>
      <c r="G242" s="22">
        <v>1</v>
      </c>
      <c r="H242" s="22">
        <v>0</v>
      </c>
    </row>
    <row r="243" spans="1:8" x14ac:dyDescent="0.25">
      <c r="A243" s="22">
        <v>709</v>
      </c>
      <c r="B243" s="22">
        <v>0</v>
      </c>
      <c r="C243" s="22">
        <v>0</v>
      </c>
      <c r="D243" s="22">
        <v>1</v>
      </c>
      <c r="E243" s="22">
        <v>-1</v>
      </c>
      <c r="F243" s="22">
        <v>-1</v>
      </c>
      <c r="G243" s="22">
        <v>-1</v>
      </c>
      <c r="H243" s="22">
        <v>-1</v>
      </c>
    </row>
    <row r="244" spans="1:8" x14ac:dyDescent="0.25">
      <c r="A244" s="22">
        <v>709</v>
      </c>
      <c r="B244" s="22">
        <v>0</v>
      </c>
      <c r="C244" s="22">
        <v>0</v>
      </c>
      <c r="D244" s="22">
        <v>1</v>
      </c>
      <c r="E244" s="22">
        <v>-1</v>
      </c>
      <c r="F244" s="22">
        <v>1</v>
      </c>
      <c r="G244" s="22">
        <v>-1</v>
      </c>
      <c r="H244" s="22">
        <v>-1</v>
      </c>
    </row>
    <row r="245" spans="1:8" x14ac:dyDescent="0.25">
      <c r="A245" s="22">
        <v>709</v>
      </c>
      <c r="B245" s="22">
        <v>1</v>
      </c>
      <c r="C245" s="22">
        <v>0</v>
      </c>
      <c r="D245" s="22">
        <v>1</v>
      </c>
      <c r="E245" s="22">
        <v>1</v>
      </c>
      <c r="F245" s="22">
        <v>-1</v>
      </c>
      <c r="G245" s="22">
        <v>0</v>
      </c>
      <c r="H245" s="22">
        <v>1</v>
      </c>
    </row>
    <row r="246" spans="1:8" x14ac:dyDescent="0.25">
      <c r="A246" s="22">
        <v>710</v>
      </c>
      <c r="B246" s="22">
        <v>0</v>
      </c>
      <c r="C246" s="22">
        <v>0</v>
      </c>
      <c r="D246" s="22">
        <v>1</v>
      </c>
      <c r="E246" s="22">
        <v>1</v>
      </c>
      <c r="F246" s="22">
        <v>1</v>
      </c>
      <c r="G246" s="22">
        <v>1</v>
      </c>
      <c r="H246" s="22">
        <v>0</v>
      </c>
    </row>
    <row r="247" spans="1:8" x14ac:dyDescent="0.25">
      <c r="A247" s="22">
        <v>710</v>
      </c>
      <c r="B247" s="22">
        <v>1</v>
      </c>
      <c r="C247" s="22">
        <v>-1</v>
      </c>
      <c r="D247" s="22">
        <v>-1</v>
      </c>
      <c r="E247" s="22">
        <v>-1</v>
      </c>
      <c r="F247" s="22">
        <v>-1</v>
      </c>
      <c r="G247" s="22">
        <v>1</v>
      </c>
      <c r="H247" s="22">
        <v>0</v>
      </c>
    </row>
    <row r="248" spans="1:8" x14ac:dyDescent="0.25">
      <c r="A248" s="22">
        <v>710</v>
      </c>
      <c r="B248" s="22">
        <v>0</v>
      </c>
      <c r="C248" s="22">
        <v>-1</v>
      </c>
      <c r="D248" s="22">
        <v>-1</v>
      </c>
      <c r="E248" s="22">
        <v>-1</v>
      </c>
      <c r="F248" s="22">
        <v>1</v>
      </c>
      <c r="G248" s="22">
        <v>0</v>
      </c>
      <c r="H248" s="22">
        <v>1</v>
      </c>
    </row>
    <row r="249" spans="1:8" x14ac:dyDescent="0.25">
      <c r="A249" s="22">
        <v>711</v>
      </c>
      <c r="B249" s="22">
        <v>0</v>
      </c>
      <c r="C249" s="22">
        <v>-1</v>
      </c>
      <c r="D249" s="22">
        <v>-1</v>
      </c>
      <c r="E249" s="22">
        <v>1</v>
      </c>
      <c r="F249" s="22">
        <v>-1</v>
      </c>
      <c r="G249" s="22">
        <v>0</v>
      </c>
      <c r="H249" s="22">
        <v>1</v>
      </c>
    </row>
    <row r="250" spans="1:8" x14ac:dyDescent="0.25">
      <c r="A250" s="22">
        <v>711</v>
      </c>
      <c r="B250" s="22">
        <v>1</v>
      </c>
      <c r="C250" s="22">
        <v>-1</v>
      </c>
      <c r="D250" s="22">
        <v>-1</v>
      </c>
      <c r="E250" s="22">
        <v>-1</v>
      </c>
      <c r="F250" s="22">
        <v>1</v>
      </c>
      <c r="G250" s="22">
        <v>0</v>
      </c>
      <c r="H250" s="22">
        <v>1</v>
      </c>
    </row>
    <row r="251" spans="1:8" x14ac:dyDescent="0.25">
      <c r="A251" s="22">
        <v>711</v>
      </c>
      <c r="B251" s="22">
        <v>0</v>
      </c>
      <c r="C251" s="22">
        <v>0</v>
      </c>
      <c r="D251" s="22">
        <v>1</v>
      </c>
      <c r="E251" s="22">
        <v>-1</v>
      </c>
      <c r="F251" s="22">
        <v>-1</v>
      </c>
      <c r="G251" s="22">
        <v>-1</v>
      </c>
      <c r="H251" s="22">
        <v>-1</v>
      </c>
    </row>
    <row r="252" spans="1:8" x14ac:dyDescent="0.25">
      <c r="A252" s="22">
        <v>712</v>
      </c>
      <c r="B252" s="22">
        <v>0</v>
      </c>
      <c r="C252" s="22">
        <v>-1</v>
      </c>
      <c r="D252" s="22">
        <v>-1</v>
      </c>
      <c r="E252" s="22">
        <v>1</v>
      </c>
      <c r="F252" s="22">
        <v>1</v>
      </c>
      <c r="G252" s="22">
        <v>-1</v>
      </c>
      <c r="H252" s="22">
        <v>-1</v>
      </c>
    </row>
    <row r="253" spans="1:8" x14ac:dyDescent="0.25">
      <c r="A253" s="22">
        <v>712</v>
      </c>
      <c r="B253" s="22">
        <v>1</v>
      </c>
      <c r="C253" s="22">
        <v>1</v>
      </c>
      <c r="D253" s="22">
        <v>0</v>
      </c>
      <c r="E253" s="22">
        <v>1</v>
      </c>
      <c r="F253" s="22">
        <v>1</v>
      </c>
      <c r="G253" s="22">
        <v>1</v>
      </c>
      <c r="H253" s="22">
        <v>0</v>
      </c>
    </row>
    <row r="254" spans="1:8" x14ac:dyDescent="0.25">
      <c r="A254" s="22">
        <v>712</v>
      </c>
      <c r="B254" s="22">
        <v>0</v>
      </c>
      <c r="C254" s="22">
        <v>-1</v>
      </c>
      <c r="D254" s="22">
        <v>-1</v>
      </c>
      <c r="E254" s="22">
        <v>1</v>
      </c>
      <c r="F254" s="22">
        <v>-1</v>
      </c>
      <c r="G254" s="22">
        <v>0</v>
      </c>
      <c r="H254" s="22">
        <v>1</v>
      </c>
    </row>
    <row r="255" spans="1:8" x14ac:dyDescent="0.25">
      <c r="A255" s="22">
        <v>801</v>
      </c>
      <c r="B255" s="22">
        <v>0</v>
      </c>
      <c r="C255" s="22">
        <v>0</v>
      </c>
      <c r="D255" s="22">
        <v>1</v>
      </c>
      <c r="E255" s="22">
        <v>-1</v>
      </c>
      <c r="F255" s="22">
        <v>1</v>
      </c>
      <c r="G255" s="22">
        <v>-1</v>
      </c>
      <c r="H255" s="22">
        <v>-1</v>
      </c>
    </row>
    <row r="256" spans="1:8" x14ac:dyDescent="0.25">
      <c r="A256" s="22">
        <v>801</v>
      </c>
      <c r="B256" s="22">
        <v>0</v>
      </c>
      <c r="C256" s="22">
        <v>1</v>
      </c>
      <c r="D256" s="22">
        <v>0</v>
      </c>
      <c r="E256" s="22">
        <v>1</v>
      </c>
      <c r="F256" s="22">
        <v>-1</v>
      </c>
      <c r="G256" s="22">
        <v>-1</v>
      </c>
      <c r="H256" s="22">
        <v>-1</v>
      </c>
    </row>
    <row r="257" spans="1:8" x14ac:dyDescent="0.25">
      <c r="A257" s="22">
        <v>801</v>
      </c>
      <c r="B257" s="22">
        <v>1</v>
      </c>
      <c r="C257" s="22">
        <v>0</v>
      </c>
      <c r="D257" s="22">
        <v>1</v>
      </c>
      <c r="E257" s="22">
        <v>1</v>
      </c>
      <c r="F257" s="22">
        <v>1</v>
      </c>
      <c r="G257" s="22">
        <v>1</v>
      </c>
      <c r="H257" s="22">
        <v>0</v>
      </c>
    </row>
    <row r="258" spans="1:8" x14ac:dyDescent="0.25">
      <c r="A258" s="22">
        <v>802</v>
      </c>
      <c r="B258" s="22">
        <v>0</v>
      </c>
      <c r="C258" s="22">
        <v>0</v>
      </c>
      <c r="D258" s="22">
        <v>1</v>
      </c>
      <c r="E258" s="22">
        <v>1</v>
      </c>
      <c r="F258" s="22">
        <v>-1</v>
      </c>
      <c r="G258" s="22">
        <v>0</v>
      </c>
      <c r="H258" s="22">
        <v>1</v>
      </c>
    </row>
    <row r="259" spans="1:8" x14ac:dyDescent="0.25">
      <c r="A259" s="22">
        <v>802</v>
      </c>
      <c r="B259" s="22">
        <v>0</v>
      </c>
      <c r="C259" s="22">
        <v>1</v>
      </c>
      <c r="D259" s="22">
        <v>0</v>
      </c>
      <c r="E259" s="22">
        <v>-1</v>
      </c>
      <c r="F259" s="22">
        <v>-1</v>
      </c>
      <c r="G259" s="22">
        <v>1</v>
      </c>
      <c r="H259" s="22">
        <v>0</v>
      </c>
    </row>
    <row r="260" spans="1:8" x14ac:dyDescent="0.25">
      <c r="A260" s="22">
        <v>802</v>
      </c>
      <c r="B260" s="22">
        <v>1</v>
      </c>
      <c r="C260" s="22">
        <v>1</v>
      </c>
      <c r="D260" s="22">
        <v>0</v>
      </c>
      <c r="E260" s="22">
        <v>1</v>
      </c>
      <c r="F260" s="22">
        <v>1</v>
      </c>
      <c r="G260" s="22">
        <v>1</v>
      </c>
      <c r="H260" s="22">
        <v>0</v>
      </c>
    </row>
    <row r="261" spans="1:8" x14ac:dyDescent="0.25">
      <c r="A261" s="22">
        <v>803</v>
      </c>
      <c r="B261" s="22">
        <v>1</v>
      </c>
      <c r="C261" s="22">
        <v>1</v>
      </c>
      <c r="D261" s="22">
        <v>0</v>
      </c>
      <c r="E261" s="22">
        <v>-1</v>
      </c>
      <c r="F261" s="22">
        <v>-1</v>
      </c>
      <c r="G261" s="22">
        <v>1</v>
      </c>
      <c r="H261" s="22">
        <v>0</v>
      </c>
    </row>
    <row r="262" spans="1:8" x14ac:dyDescent="0.25">
      <c r="A262" s="22">
        <v>803</v>
      </c>
      <c r="B262" s="22">
        <v>0</v>
      </c>
      <c r="C262" s="22">
        <v>-1</v>
      </c>
      <c r="D262" s="22">
        <v>-1</v>
      </c>
      <c r="E262" s="22">
        <v>1</v>
      </c>
      <c r="F262" s="22">
        <v>-1</v>
      </c>
      <c r="G262" s="22">
        <v>0</v>
      </c>
      <c r="H262" s="22">
        <v>1</v>
      </c>
    </row>
    <row r="263" spans="1:8" x14ac:dyDescent="0.25">
      <c r="A263" s="22">
        <v>803</v>
      </c>
      <c r="B263" s="22">
        <v>0</v>
      </c>
      <c r="C263" s="22">
        <v>1</v>
      </c>
      <c r="D263" s="22">
        <v>0</v>
      </c>
      <c r="E263" s="22">
        <v>1</v>
      </c>
      <c r="F263" s="22">
        <v>-1</v>
      </c>
      <c r="G263" s="22">
        <v>-1</v>
      </c>
      <c r="H263" s="22">
        <v>-1</v>
      </c>
    </row>
    <row r="264" spans="1:8" x14ac:dyDescent="0.25">
      <c r="A264" s="22">
        <v>804</v>
      </c>
      <c r="B264" s="22">
        <v>0</v>
      </c>
      <c r="C264" s="22">
        <v>1</v>
      </c>
      <c r="D264" s="22">
        <v>0</v>
      </c>
      <c r="E264" s="22">
        <v>1</v>
      </c>
      <c r="F264" s="22">
        <v>-1</v>
      </c>
      <c r="G264" s="22">
        <v>-1</v>
      </c>
      <c r="H264" s="22">
        <v>-1</v>
      </c>
    </row>
    <row r="265" spans="1:8" x14ac:dyDescent="0.25">
      <c r="A265" s="22">
        <v>804</v>
      </c>
      <c r="B265" s="22">
        <v>0</v>
      </c>
      <c r="C265" s="22">
        <v>-1</v>
      </c>
      <c r="D265" s="22">
        <v>-1</v>
      </c>
      <c r="E265" s="22">
        <v>1</v>
      </c>
      <c r="F265" s="22">
        <v>1</v>
      </c>
      <c r="G265" s="22">
        <v>-1</v>
      </c>
      <c r="H265" s="22">
        <v>-1</v>
      </c>
    </row>
    <row r="266" spans="1:8" x14ac:dyDescent="0.25">
      <c r="A266" s="22">
        <v>804</v>
      </c>
      <c r="B266" s="22">
        <v>1</v>
      </c>
      <c r="C266" s="22">
        <v>1</v>
      </c>
      <c r="D266" s="22">
        <v>0</v>
      </c>
      <c r="E266" s="22">
        <v>-1</v>
      </c>
      <c r="F266" s="22">
        <v>-1</v>
      </c>
      <c r="G266" s="22">
        <v>1</v>
      </c>
      <c r="H266" s="22">
        <v>0</v>
      </c>
    </row>
    <row r="267" spans="1:8" x14ac:dyDescent="0.25">
      <c r="A267" s="22">
        <v>805</v>
      </c>
      <c r="B267" s="22">
        <v>1</v>
      </c>
      <c r="C267" s="22">
        <v>-1</v>
      </c>
      <c r="D267" s="22">
        <v>-1</v>
      </c>
      <c r="E267" s="22">
        <v>-1</v>
      </c>
      <c r="F267" s="22">
        <v>-1</v>
      </c>
      <c r="G267" s="22">
        <v>1</v>
      </c>
      <c r="H267" s="22">
        <v>0</v>
      </c>
    </row>
    <row r="268" spans="1:8" x14ac:dyDescent="0.25">
      <c r="A268" s="22">
        <v>805</v>
      </c>
      <c r="B268" s="22">
        <v>0</v>
      </c>
      <c r="C268" s="22">
        <v>0</v>
      </c>
      <c r="D268" s="22">
        <v>1</v>
      </c>
      <c r="E268" s="22">
        <v>1</v>
      </c>
      <c r="F268" s="22">
        <v>1</v>
      </c>
      <c r="G268" s="22">
        <v>1</v>
      </c>
      <c r="H268" s="22">
        <v>0</v>
      </c>
    </row>
    <row r="269" spans="1:8" x14ac:dyDescent="0.25">
      <c r="A269" s="22">
        <v>805</v>
      </c>
      <c r="B269" s="22">
        <v>0</v>
      </c>
      <c r="C269" s="22">
        <v>1</v>
      </c>
      <c r="D269" s="22">
        <v>0</v>
      </c>
      <c r="E269" s="22">
        <v>-1</v>
      </c>
      <c r="F269" s="22">
        <v>1</v>
      </c>
      <c r="G269" s="22">
        <v>0</v>
      </c>
      <c r="H269" s="22">
        <v>1</v>
      </c>
    </row>
    <row r="270" spans="1:8" x14ac:dyDescent="0.25">
      <c r="A270" s="22">
        <v>806</v>
      </c>
      <c r="B270" s="22">
        <v>1</v>
      </c>
      <c r="C270" s="22">
        <v>1</v>
      </c>
      <c r="D270" s="22">
        <v>0</v>
      </c>
      <c r="E270" s="22">
        <v>-1</v>
      </c>
      <c r="F270" s="22">
        <v>1</v>
      </c>
      <c r="G270" s="22">
        <v>0</v>
      </c>
      <c r="H270" s="22">
        <v>1</v>
      </c>
    </row>
    <row r="271" spans="1:8" x14ac:dyDescent="0.25">
      <c r="A271" s="22">
        <v>806</v>
      </c>
      <c r="B271" s="22">
        <v>0</v>
      </c>
      <c r="C271" s="22">
        <v>0</v>
      </c>
      <c r="D271" s="22">
        <v>1</v>
      </c>
      <c r="E271" s="22">
        <v>1</v>
      </c>
      <c r="F271" s="22">
        <v>-1</v>
      </c>
      <c r="G271" s="22">
        <v>0</v>
      </c>
      <c r="H271" s="22">
        <v>1</v>
      </c>
    </row>
    <row r="272" spans="1:8" x14ac:dyDescent="0.25">
      <c r="A272" s="22">
        <v>806</v>
      </c>
      <c r="B272" s="22">
        <v>0</v>
      </c>
      <c r="C272" s="22">
        <v>0</v>
      </c>
      <c r="D272" s="22">
        <v>1</v>
      </c>
      <c r="E272" s="22">
        <v>-1</v>
      </c>
      <c r="F272" s="22">
        <v>1</v>
      </c>
      <c r="G272" s="22">
        <v>-1</v>
      </c>
      <c r="H272" s="22">
        <v>-1</v>
      </c>
    </row>
    <row r="273" spans="1:8" x14ac:dyDescent="0.25">
      <c r="A273" s="22">
        <v>807</v>
      </c>
      <c r="B273" s="22">
        <v>1</v>
      </c>
      <c r="C273" s="22">
        <v>-1</v>
      </c>
      <c r="D273" s="22">
        <v>-1</v>
      </c>
      <c r="E273" s="22">
        <v>-1</v>
      </c>
      <c r="F273" s="22">
        <v>1</v>
      </c>
      <c r="G273" s="22">
        <v>0</v>
      </c>
      <c r="H273" s="22">
        <v>1</v>
      </c>
    </row>
    <row r="274" spans="1:8" x14ac:dyDescent="0.25">
      <c r="A274" s="22">
        <v>807</v>
      </c>
      <c r="B274" s="22">
        <v>0</v>
      </c>
      <c r="C274" s="22">
        <v>0</v>
      </c>
      <c r="D274" s="22">
        <v>1</v>
      </c>
      <c r="E274" s="22">
        <v>-1</v>
      </c>
      <c r="F274" s="22">
        <v>-1</v>
      </c>
      <c r="G274" s="22">
        <v>-1</v>
      </c>
      <c r="H274" s="22">
        <v>-1</v>
      </c>
    </row>
    <row r="275" spans="1:8" x14ac:dyDescent="0.25">
      <c r="A275" s="22">
        <v>807</v>
      </c>
      <c r="B275" s="22">
        <v>0</v>
      </c>
      <c r="C275" s="22">
        <v>-1</v>
      </c>
      <c r="D275" s="22">
        <v>-1</v>
      </c>
      <c r="E275" s="22">
        <v>1</v>
      </c>
      <c r="F275" s="22">
        <v>1</v>
      </c>
      <c r="G275" s="22">
        <v>-1</v>
      </c>
      <c r="H275" s="22">
        <v>-1</v>
      </c>
    </row>
    <row r="276" spans="1:8" x14ac:dyDescent="0.25">
      <c r="A276" s="22">
        <v>808</v>
      </c>
      <c r="B276" s="22">
        <v>1</v>
      </c>
      <c r="C276" s="22">
        <v>1</v>
      </c>
      <c r="D276" s="22">
        <v>0</v>
      </c>
      <c r="E276" s="22">
        <v>1</v>
      </c>
      <c r="F276" s="22">
        <v>1</v>
      </c>
      <c r="G276" s="22">
        <v>1</v>
      </c>
      <c r="H276" s="22">
        <v>0</v>
      </c>
    </row>
    <row r="277" spans="1:8" x14ac:dyDescent="0.25">
      <c r="A277" s="22">
        <v>808</v>
      </c>
      <c r="B277" s="22">
        <v>0</v>
      </c>
      <c r="C277" s="22">
        <v>1</v>
      </c>
      <c r="D277" s="22">
        <v>0</v>
      </c>
      <c r="E277" s="22">
        <v>-1</v>
      </c>
      <c r="F277" s="22">
        <v>1</v>
      </c>
      <c r="G277" s="22">
        <v>0</v>
      </c>
      <c r="H277" s="22">
        <v>1</v>
      </c>
    </row>
    <row r="278" spans="1:8" x14ac:dyDescent="0.25">
      <c r="A278" s="22">
        <v>808</v>
      </c>
      <c r="B278" s="22">
        <v>0</v>
      </c>
      <c r="C278" s="22">
        <v>-1</v>
      </c>
      <c r="D278" s="22">
        <v>-1</v>
      </c>
      <c r="E278" s="22">
        <v>-1</v>
      </c>
      <c r="F278" s="22">
        <v>-1</v>
      </c>
      <c r="G278" s="22">
        <v>1</v>
      </c>
      <c r="H278" s="22">
        <v>0</v>
      </c>
    </row>
    <row r="279" spans="1:8" x14ac:dyDescent="0.25">
      <c r="A279" s="22">
        <v>809</v>
      </c>
      <c r="B279" s="22">
        <v>0</v>
      </c>
      <c r="C279" s="22">
        <v>0</v>
      </c>
      <c r="D279" s="22">
        <v>1</v>
      </c>
      <c r="E279" s="22">
        <v>-1</v>
      </c>
      <c r="F279" s="22">
        <v>-1</v>
      </c>
      <c r="G279" s="22">
        <v>-1</v>
      </c>
      <c r="H279" s="22">
        <v>-1</v>
      </c>
    </row>
    <row r="280" spans="1:8" x14ac:dyDescent="0.25">
      <c r="A280" s="22">
        <v>809</v>
      </c>
      <c r="B280" s="22">
        <v>0</v>
      </c>
      <c r="C280" s="22">
        <v>0</v>
      </c>
      <c r="D280" s="22">
        <v>1</v>
      </c>
      <c r="E280" s="22">
        <v>-1</v>
      </c>
      <c r="F280" s="22">
        <v>1</v>
      </c>
      <c r="G280" s="22">
        <v>-1</v>
      </c>
      <c r="H280" s="22">
        <v>-1</v>
      </c>
    </row>
    <row r="281" spans="1:8" x14ac:dyDescent="0.25">
      <c r="A281" s="22">
        <v>809</v>
      </c>
      <c r="B281" s="22">
        <v>1</v>
      </c>
      <c r="C281" s="22">
        <v>0</v>
      </c>
      <c r="D281" s="22">
        <v>1</v>
      </c>
      <c r="E281" s="22">
        <v>1</v>
      </c>
      <c r="F281" s="22">
        <v>-1</v>
      </c>
      <c r="G281" s="22">
        <v>0</v>
      </c>
      <c r="H281" s="22">
        <v>1</v>
      </c>
    </row>
    <row r="282" spans="1:8" x14ac:dyDescent="0.25">
      <c r="A282" s="22">
        <v>810</v>
      </c>
      <c r="B282" s="22">
        <v>0</v>
      </c>
      <c r="C282" s="22">
        <v>0</v>
      </c>
      <c r="D282" s="22">
        <v>1</v>
      </c>
      <c r="E282" s="22">
        <v>1</v>
      </c>
      <c r="F282" s="22">
        <v>1</v>
      </c>
      <c r="G282" s="22">
        <v>1</v>
      </c>
      <c r="H282" s="22">
        <v>0</v>
      </c>
    </row>
    <row r="283" spans="1:8" x14ac:dyDescent="0.25">
      <c r="A283" s="22">
        <v>810</v>
      </c>
      <c r="B283" s="22">
        <v>1</v>
      </c>
      <c r="C283" s="22">
        <v>-1</v>
      </c>
      <c r="D283" s="22">
        <v>-1</v>
      </c>
      <c r="E283" s="22">
        <v>-1</v>
      </c>
      <c r="F283" s="22">
        <v>-1</v>
      </c>
      <c r="G283" s="22">
        <v>1</v>
      </c>
      <c r="H283" s="22">
        <v>0</v>
      </c>
    </row>
    <row r="284" spans="1:8" x14ac:dyDescent="0.25">
      <c r="A284" s="22">
        <v>810</v>
      </c>
      <c r="B284" s="22">
        <v>0</v>
      </c>
      <c r="C284" s="22">
        <v>-1</v>
      </c>
      <c r="D284" s="22">
        <v>-1</v>
      </c>
      <c r="E284" s="22">
        <v>-1</v>
      </c>
      <c r="F284" s="22">
        <v>1</v>
      </c>
      <c r="G284" s="22">
        <v>0</v>
      </c>
      <c r="H284" s="22">
        <v>1</v>
      </c>
    </row>
    <row r="285" spans="1:8" x14ac:dyDescent="0.25">
      <c r="A285" s="22">
        <v>811</v>
      </c>
      <c r="B285" s="22">
        <v>0</v>
      </c>
      <c r="C285" s="22">
        <v>-1</v>
      </c>
      <c r="D285" s="22">
        <v>-1</v>
      </c>
      <c r="E285" s="22">
        <v>1</v>
      </c>
      <c r="F285" s="22">
        <v>-1</v>
      </c>
      <c r="G285" s="22">
        <v>0</v>
      </c>
      <c r="H285" s="22">
        <v>1</v>
      </c>
    </row>
    <row r="286" spans="1:8" x14ac:dyDescent="0.25">
      <c r="A286" s="22">
        <v>811</v>
      </c>
      <c r="B286" s="22">
        <v>1</v>
      </c>
      <c r="C286" s="22">
        <v>-1</v>
      </c>
      <c r="D286" s="22">
        <v>-1</v>
      </c>
      <c r="E286" s="22">
        <v>-1</v>
      </c>
      <c r="F286" s="22">
        <v>1</v>
      </c>
      <c r="G286" s="22">
        <v>0</v>
      </c>
      <c r="H286" s="22">
        <v>1</v>
      </c>
    </row>
    <row r="287" spans="1:8" x14ac:dyDescent="0.25">
      <c r="A287" s="22">
        <v>811</v>
      </c>
      <c r="B287" s="22">
        <v>0</v>
      </c>
      <c r="C287" s="22">
        <v>0</v>
      </c>
      <c r="D287" s="22">
        <v>1</v>
      </c>
      <c r="E287" s="22">
        <v>-1</v>
      </c>
      <c r="F287" s="22">
        <v>-1</v>
      </c>
      <c r="G287" s="22">
        <v>-1</v>
      </c>
      <c r="H287" s="22">
        <v>-1</v>
      </c>
    </row>
    <row r="288" spans="1:8" x14ac:dyDescent="0.25">
      <c r="A288" s="22">
        <v>812</v>
      </c>
      <c r="B288" s="22">
        <v>0</v>
      </c>
      <c r="C288" s="22">
        <v>-1</v>
      </c>
      <c r="D288" s="22">
        <v>-1</v>
      </c>
      <c r="E288" s="22">
        <v>1</v>
      </c>
      <c r="F288" s="22">
        <v>1</v>
      </c>
      <c r="G288" s="22">
        <v>-1</v>
      </c>
      <c r="H288" s="22">
        <v>-1</v>
      </c>
    </row>
    <row r="289" spans="1:8" x14ac:dyDescent="0.25">
      <c r="A289" s="22">
        <v>812</v>
      </c>
      <c r="B289" s="22">
        <v>1</v>
      </c>
      <c r="C289" s="22">
        <v>1</v>
      </c>
      <c r="D289" s="22">
        <v>0</v>
      </c>
      <c r="E289" s="22">
        <v>1</v>
      </c>
      <c r="F289" s="22">
        <v>1</v>
      </c>
      <c r="G289" s="22">
        <v>1</v>
      </c>
      <c r="H289" s="22">
        <v>0</v>
      </c>
    </row>
    <row r="290" spans="1:8" x14ac:dyDescent="0.25">
      <c r="A290" s="22">
        <v>812</v>
      </c>
      <c r="B290" s="22">
        <v>0</v>
      </c>
      <c r="C290" s="22">
        <v>-1</v>
      </c>
      <c r="D290" s="22">
        <v>-1</v>
      </c>
      <c r="E290" s="22">
        <v>1</v>
      </c>
      <c r="F290" s="22">
        <v>-1</v>
      </c>
      <c r="G290" s="22">
        <v>0</v>
      </c>
      <c r="H290" s="22">
        <v>1</v>
      </c>
    </row>
    <row r="291" spans="1:8" x14ac:dyDescent="0.25">
      <c r="A291" s="22">
        <v>901</v>
      </c>
      <c r="B291" s="22">
        <v>0</v>
      </c>
      <c r="C291" s="22">
        <v>0</v>
      </c>
      <c r="D291" s="22">
        <v>1</v>
      </c>
      <c r="E291" s="22">
        <v>-1</v>
      </c>
      <c r="F291" s="22">
        <v>1</v>
      </c>
      <c r="G291" s="22">
        <v>-1</v>
      </c>
      <c r="H291" s="22">
        <v>-1</v>
      </c>
    </row>
    <row r="292" spans="1:8" x14ac:dyDescent="0.25">
      <c r="A292" s="22">
        <v>901</v>
      </c>
      <c r="B292" s="22">
        <v>1</v>
      </c>
      <c r="C292" s="22">
        <v>1</v>
      </c>
      <c r="D292" s="22">
        <v>0</v>
      </c>
      <c r="E292" s="22">
        <v>1</v>
      </c>
      <c r="F292" s="22">
        <v>-1</v>
      </c>
      <c r="G292" s="22">
        <v>-1</v>
      </c>
      <c r="H292" s="22">
        <v>-1</v>
      </c>
    </row>
    <row r="293" spans="1:8" x14ac:dyDescent="0.25">
      <c r="A293" s="22">
        <v>901</v>
      </c>
      <c r="B293" s="22">
        <v>0</v>
      </c>
      <c r="C293" s="22">
        <v>0</v>
      </c>
      <c r="D293" s="22">
        <v>1</v>
      </c>
      <c r="E293" s="22">
        <v>1</v>
      </c>
      <c r="F293" s="22">
        <v>1</v>
      </c>
      <c r="G293" s="22">
        <v>1</v>
      </c>
      <c r="H293" s="22">
        <v>0</v>
      </c>
    </row>
    <row r="294" spans="1:8" x14ac:dyDescent="0.25">
      <c r="A294" s="22">
        <v>902</v>
      </c>
      <c r="B294" s="22">
        <v>0</v>
      </c>
      <c r="C294" s="22">
        <v>0</v>
      </c>
      <c r="D294" s="22">
        <v>1</v>
      </c>
      <c r="E294" s="22">
        <v>1</v>
      </c>
      <c r="F294" s="22">
        <v>-1</v>
      </c>
      <c r="G294" s="22">
        <v>0</v>
      </c>
      <c r="H294" s="22">
        <v>1</v>
      </c>
    </row>
    <row r="295" spans="1:8" x14ac:dyDescent="0.25">
      <c r="A295" s="22">
        <v>902</v>
      </c>
      <c r="B295" s="22">
        <v>1</v>
      </c>
      <c r="C295" s="22">
        <v>1</v>
      </c>
      <c r="D295" s="22">
        <v>0</v>
      </c>
      <c r="E295" s="22">
        <v>-1</v>
      </c>
      <c r="F295" s="22">
        <v>-1</v>
      </c>
      <c r="G295" s="22">
        <v>1</v>
      </c>
      <c r="H295" s="22">
        <v>0</v>
      </c>
    </row>
    <row r="296" spans="1:8" x14ac:dyDescent="0.25">
      <c r="A296" s="22">
        <v>902</v>
      </c>
      <c r="B296" s="22">
        <v>0</v>
      </c>
      <c r="C296" s="22">
        <v>1</v>
      </c>
      <c r="D296" s="22">
        <v>0</v>
      </c>
      <c r="E296" s="22">
        <v>1</v>
      </c>
      <c r="F296" s="22">
        <v>1</v>
      </c>
      <c r="G296" s="22">
        <v>1</v>
      </c>
      <c r="H296" s="22">
        <v>0</v>
      </c>
    </row>
    <row r="297" spans="1:8" x14ac:dyDescent="0.25">
      <c r="A297" s="22">
        <v>903</v>
      </c>
      <c r="B297" s="22">
        <v>0</v>
      </c>
      <c r="C297" s="22">
        <v>1</v>
      </c>
      <c r="D297" s="22">
        <v>0</v>
      </c>
      <c r="E297" s="22">
        <v>-1</v>
      </c>
      <c r="F297" s="22">
        <v>-1</v>
      </c>
      <c r="G297" s="22">
        <v>1</v>
      </c>
      <c r="H297" s="22">
        <v>0</v>
      </c>
    </row>
    <row r="298" spans="1:8" x14ac:dyDescent="0.25">
      <c r="A298" s="22">
        <v>903</v>
      </c>
      <c r="B298" s="22">
        <v>0</v>
      </c>
      <c r="C298" s="22">
        <v>-1</v>
      </c>
      <c r="D298" s="22">
        <v>-1</v>
      </c>
      <c r="E298" s="22">
        <v>1</v>
      </c>
      <c r="F298" s="22">
        <v>-1</v>
      </c>
      <c r="G298" s="22">
        <v>0</v>
      </c>
      <c r="H298" s="22">
        <v>1</v>
      </c>
    </row>
    <row r="299" spans="1:8" x14ac:dyDescent="0.25">
      <c r="A299" s="22">
        <v>903</v>
      </c>
      <c r="B299" s="22">
        <v>1</v>
      </c>
      <c r="C299" s="22">
        <v>1</v>
      </c>
      <c r="D299" s="22">
        <v>0</v>
      </c>
      <c r="E299" s="22">
        <v>1</v>
      </c>
      <c r="F299" s="22">
        <v>-1</v>
      </c>
      <c r="G299" s="22">
        <v>-1</v>
      </c>
      <c r="H299" s="22">
        <v>-1</v>
      </c>
    </row>
    <row r="300" spans="1:8" x14ac:dyDescent="0.25">
      <c r="A300" s="22">
        <v>904</v>
      </c>
      <c r="B300" s="22">
        <v>1</v>
      </c>
      <c r="C300" s="22">
        <v>1</v>
      </c>
      <c r="D300" s="22">
        <v>0</v>
      </c>
      <c r="E300" s="22">
        <v>1</v>
      </c>
      <c r="F300" s="22">
        <v>-1</v>
      </c>
      <c r="G300" s="22">
        <v>-1</v>
      </c>
      <c r="H300" s="22">
        <v>-1</v>
      </c>
    </row>
    <row r="301" spans="1:8" x14ac:dyDescent="0.25">
      <c r="A301" s="22">
        <v>904</v>
      </c>
      <c r="B301" s="22">
        <v>0</v>
      </c>
      <c r="C301" s="22">
        <v>-1</v>
      </c>
      <c r="D301" s="22">
        <v>-1</v>
      </c>
      <c r="E301" s="22">
        <v>1</v>
      </c>
      <c r="F301" s="22">
        <v>1</v>
      </c>
      <c r="G301" s="22">
        <v>-1</v>
      </c>
      <c r="H301" s="22">
        <v>-1</v>
      </c>
    </row>
    <row r="302" spans="1:8" x14ac:dyDescent="0.25">
      <c r="A302" s="22">
        <v>904</v>
      </c>
      <c r="B302" s="22">
        <v>0</v>
      </c>
      <c r="C302" s="22">
        <v>1</v>
      </c>
      <c r="D302" s="22">
        <v>0</v>
      </c>
      <c r="E302" s="22">
        <v>-1</v>
      </c>
      <c r="F302" s="22">
        <v>-1</v>
      </c>
      <c r="G302" s="22">
        <v>1</v>
      </c>
      <c r="H302" s="22">
        <v>0</v>
      </c>
    </row>
    <row r="303" spans="1:8" x14ac:dyDescent="0.25">
      <c r="A303" s="22">
        <v>905</v>
      </c>
      <c r="B303" s="22">
        <v>1</v>
      </c>
      <c r="C303" s="22">
        <v>-1</v>
      </c>
      <c r="D303" s="22">
        <v>-1</v>
      </c>
      <c r="E303" s="22">
        <v>-1</v>
      </c>
      <c r="F303" s="22">
        <v>-1</v>
      </c>
      <c r="G303" s="22">
        <v>1</v>
      </c>
      <c r="H303" s="22">
        <v>0</v>
      </c>
    </row>
    <row r="304" spans="1:8" x14ac:dyDescent="0.25">
      <c r="A304" s="22">
        <v>905</v>
      </c>
      <c r="B304" s="22">
        <v>0</v>
      </c>
      <c r="C304" s="22">
        <v>0</v>
      </c>
      <c r="D304" s="22">
        <v>1</v>
      </c>
      <c r="E304" s="22">
        <v>1</v>
      </c>
      <c r="F304" s="22">
        <v>1</v>
      </c>
      <c r="G304" s="22">
        <v>1</v>
      </c>
      <c r="H304" s="22">
        <v>0</v>
      </c>
    </row>
    <row r="305" spans="1:8" x14ac:dyDescent="0.25">
      <c r="A305" s="22">
        <v>905</v>
      </c>
      <c r="B305" s="22">
        <v>0</v>
      </c>
      <c r="C305" s="22">
        <v>1</v>
      </c>
      <c r="D305" s="22">
        <v>0</v>
      </c>
      <c r="E305" s="22">
        <v>-1</v>
      </c>
      <c r="F305" s="22">
        <v>1</v>
      </c>
      <c r="G305" s="22">
        <v>0</v>
      </c>
      <c r="H305" s="22">
        <v>1</v>
      </c>
    </row>
    <row r="306" spans="1:8" x14ac:dyDescent="0.25">
      <c r="A306" s="22">
        <v>906</v>
      </c>
      <c r="B306" s="22">
        <v>0</v>
      </c>
      <c r="C306" s="22">
        <v>1</v>
      </c>
      <c r="D306" s="22">
        <v>0</v>
      </c>
      <c r="E306" s="22">
        <v>-1</v>
      </c>
      <c r="F306" s="22">
        <v>1</v>
      </c>
      <c r="G306" s="22">
        <v>0</v>
      </c>
      <c r="H306" s="22">
        <v>1</v>
      </c>
    </row>
    <row r="307" spans="1:8" x14ac:dyDescent="0.25">
      <c r="A307" s="22">
        <v>906</v>
      </c>
      <c r="B307" s="22">
        <v>0</v>
      </c>
      <c r="C307" s="22">
        <v>0</v>
      </c>
      <c r="D307" s="22">
        <v>1</v>
      </c>
      <c r="E307" s="22">
        <v>1</v>
      </c>
      <c r="F307" s="22">
        <v>-1</v>
      </c>
      <c r="G307" s="22">
        <v>0</v>
      </c>
      <c r="H307" s="22">
        <v>1</v>
      </c>
    </row>
    <row r="308" spans="1:8" x14ac:dyDescent="0.25">
      <c r="A308" s="22">
        <v>906</v>
      </c>
      <c r="B308" s="22">
        <v>1</v>
      </c>
      <c r="C308" s="22">
        <v>0</v>
      </c>
      <c r="D308" s="22">
        <v>1</v>
      </c>
      <c r="E308" s="22">
        <v>-1</v>
      </c>
      <c r="F308" s="22">
        <v>1</v>
      </c>
      <c r="G308" s="22">
        <v>-1</v>
      </c>
      <c r="H308" s="22">
        <v>-1</v>
      </c>
    </row>
    <row r="309" spans="1:8" x14ac:dyDescent="0.25">
      <c r="A309" s="22">
        <v>907</v>
      </c>
      <c r="B309" s="22">
        <v>0</v>
      </c>
      <c r="C309" s="22">
        <v>-1</v>
      </c>
      <c r="D309" s="22">
        <v>-1</v>
      </c>
      <c r="E309" s="22">
        <v>-1</v>
      </c>
      <c r="F309" s="22">
        <v>1</v>
      </c>
      <c r="G309" s="22">
        <v>0</v>
      </c>
      <c r="H309" s="22">
        <v>1</v>
      </c>
    </row>
    <row r="310" spans="1:8" x14ac:dyDescent="0.25">
      <c r="A310" s="22">
        <v>907</v>
      </c>
      <c r="B310" s="22">
        <v>1</v>
      </c>
      <c r="C310" s="22">
        <v>0</v>
      </c>
      <c r="D310" s="22">
        <v>1</v>
      </c>
      <c r="E310" s="22">
        <v>-1</v>
      </c>
      <c r="F310" s="22">
        <v>-1</v>
      </c>
      <c r="G310" s="22">
        <v>-1</v>
      </c>
      <c r="H310" s="22">
        <v>-1</v>
      </c>
    </row>
    <row r="311" spans="1:8" x14ac:dyDescent="0.25">
      <c r="A311" s="22">
        <v>907</v>
      </c>
      <c r="B311" s="22">
        <v>0</v>
      </c>
      <c r="C311" s="22">
        <v>-1</v>
      </c>
      <c r="D311" s="22">
        <v>-1</v>
      </c>
      <c r="E311" s="22">
        <v>1</v>
      </c>
      <c r="F311" s="22">
        <v>1</v>
      </c>
      <c r="G311" s="22">
        <v>-1</v>
      </c>
      <c r="H311" s="22">
        <v>-1</v>
      </c>
    </row>
    <row r="312" spans="1:8" x14ac:dyDescent="0.25">
      <c r="A312" s="22">
        <v>908</v>
      </c>
      <c r="B312" s="22">
        <v>0</v>
      </c>
      <c r="C312" s="22">
        <v>1</v>
      </c>
      <c r="D312" s="22">
        <v>0</v>
      </c>
      <c r="E312" s="22">
        <v>1</v>
      </c>
      <c r="F312" s="22">
        <v>1</v>
      </c>
      <c r="G312" s="22">
        <v>1</v>
      </c>
      <c r="H312" s="22">
        <v>0</v>
      </c>
    </row>
    <row r="313" spans="1:8" x14ac:dyDescent="0.25">
      <c r="A313" s="22">
        <v>908</v>
      </c>
      <c r="B313" s="22">
        <v>0</v>
      </c>
      <c r="C313" s="22">
        <v>1</v>
      </c>
      <c r="D313" s="22">
        <v>0</v>
      </c>
      <c r="E313" s="22">
        <v>-1</v>
      </c>
      <c r="F313" s="22">
        <v>1</v>
      </c>
      <c r="G313" s="22">
        <v>0</v>
      </c>
      <c r="H313" s="22">
        <v>1</v>
      </c>
    </row>
    <row r="314" spans="1:8" x14ac:dyDescent="0.25">
      <c r="A314" s="22">
        <v>908</v>
      </c>
      <c r="B314" s="22">
        <v>1</v>
      </c>
      <c r="C314" s="22">
        <v>-1</v>
      </c>
      <c r="D314" s="22">
        <v>-1</v>
      </c>
      <c r="E314" s="22">
        <v>-1</v>
      </c>
      <c r="F314" s="22">
        <v>-1</v>
      </c>
      <c r="G314" s="22">
        <v>1</v>
      </c>
      <c r="H314" s="22">
        <v>0</v>
      </c>
    </row>
    <row r="315" spans="1:8" x14ac:dyDescent="0.25">
      <c r="A315" s="22">
        <v>909</v>
      </c>
      <c r="B315" s="22">
        <v>1</v>
      </c>
      <c r="C315" s="22">
        <v>0</v>
      </c>
      <c r="D315" s="22">
        <v>1</v>
      </c>
      <c r="E315" s="22">
        <v>-1</v>
      </c>
      <c r="F315" s="22">
        <v>-1</v>
      </c>
      <c r="G315" s="22">
        <v>-1</v>
      </c>
      <c r="H315" s="22">
        <v>-1</v>
      </c>
    </row>
    <row r="316" spans="1:8" x14ac:dyDescent="0.25">
      <c r="A316" s="22">
        <v>909</v>
      </c>
      <c r="B316" s="22">
        <v>0</v>
      </c>
      <c r="C316" s="22">
        <v>0</v>
      </c>
      <c r="D316" s="22">
        <v>1</v>
      </c>
      <c r="E316" s="22">
        <v>-1</v>
      </c>
      <c r="F316" s="22">
        <v>1</v>
      </c>
      <c r="G316" s="22">
        <v>-1</v>
      </c>
      <c r="H316" s="22">
        <v>-1</v>
      </c>
    </row>
    <row r="317" spans="1:8" x14ac:dyDescent="0.25">
      <c r="A317" s="22">
        <v>909</v>
      </c>
      <c r="B317" s="22">
        <v>0</v>
      </c>
      <c r="C317" s="22">
        <v>0</v>
      </c>
      <c r="D317" s="22">
        <v>1</v>
      </c>
      <c r="E317" s="22">
        <v>1</v>
      </c>
      <c r="F317" s="22">
        <v>-1</v>
      </c>
      <c r="G317" s="22">
        <v>0</v>
      </c>
      <c r="H317" s="22">
        <v>1</v>
      </c>
    </row>
    <row r="318" spans="1:8" x14ac:dyDescent="0.25">
      <c r="A318" s="22">
        <v>910</v>
      </c>
      <c r="B318" s="22">
        <v>0</v>
      </c>
      <c r="C318" s="22">
        <v>0</v>
      </c>
      <c r="D318" s="22">
        <v>1</v>
      </c>
      <c r="E318" s="22">
        <v>1</v>
      </c>
      <c r="F318" s="22">
        <v>1</v>
      </c>
      <c r="G318" s="22">
        <v>1</v>
      </c>
      <c r="H318" s="22">
        <v>0</v>
      </c>
    </row>
    <row r="319" spans="1:8" x14ac:dyDescent="0.25">
      <c r="A319" s="22">
        <v>910</v>
      </c>
      <c r="B319" s="22">
        <v>1</v>
      </c>
      <c r="C319" s="22">
        <v>-1</v>
      </c>
      <c r="D319" s="22">
        <v>-1</v>
      </c>
      <c r="E319" s="22">
        <v>-1</v>
      </c>
      <c r="F319" s="22">
        <v>-1</v>
      </c>
      <c r="G319" s="22">
        <v>1</v>
      </c>
      <c r="H319" s="22">
        <v>0</v>
      </c>
    </row>
    <row r="320" spans="1:8" x14ac:dyDescent="0.25">
      <c r="A320" s="22">
        <v>910</v>
      </c>
      <c r="B320" s="22">
        <v>0</v>
      </c>
      <c r="C320" s="22">
        <v>-1</v>
      </c>
      <c r="D320" s="22">
        <v>-1</v>
      </c>
      <c r="E320" s="22">
        <v>-1</v>
      </c>
      <c r="F320" s="22">
        <v>1</v>
      </c>
      <c r="G320" s="22">
        <v>0</v>
      </c>
      <c r="H320" s="22">
        <v>1</v>
      </c>
    </row>
    <row r="321" spans="1:8" x14ac:dyDescent="0.25">
      <c r="A321" s="22">
        <v>911</v>
      </c>
      <c r="B321" s="22">
        <v>0</v>
      </c>
      <c r="C321" s="22">
        <v>-1</v>
      </c>
      <c r="D321" s="22">
        <v>-1</v>
      </c>
      <c r="E321" s="22">
        <v>1</v>
      </c>
      <c r="F321" s="22">
        <v>-1</v>
      </c>
      <c r="G321" s="22">
        <v>0</v>
      </c>
      <c r="H321" s="22">
        <v>1</v>
      </c>
    </row>
    <row r="322" spans="1:8" x14ac:dyDescent="0.25">
      <c r="A322" s="22">
        <v>911</v>
      </c>
      <c r="B322" s="22">
        <v>0</v>
      </c>
      <c r="C322" s="22">
        <v>-1</v>
      </c>
      <c r="D322" s="22">
        <v>-1</v>
      </c>
      <c r="E322" s="22">
        <v>-1</v>
      </c>
      <c r="F322" s="22">
        <v>1</v>
      </c>
      <c r="G322" s="22">
        <v>0</v>
      </c>
      <c r="H322" s="22">
        <v>1</v>
      </c>
    </row>
    <row r="323" spans="1:8" x14ac:dyDescent="0.25">
      <c r="A323" s="22">
        <v>911</v>
      </c>
      <c r="B323" s="22">
        <v>1</v>
      </c>
      <c r="C323" s="22">
        <v>0</v>
      </c>
      <c r="D323" s="22">
        <v>1</v>
      </c>
      <c r="E323" s="22">
        <v>-1</v>
      </c>
      <c r="F323" s="22">
        <v>-1</v>
      </c>
      <c r="G323" s="22">
        <v>-1</v>
      </c>
      <c r="H323" s="22">
        <v>-1</v>
      </c>
    </row>
    <row r="324" spans="1:8" x14ac:dyDescent="0.25">
      <c r="A324" s="22">
        <v>912</v>
      </c>
      <c r="B324" s="22">
        <v>0</v>
      </c>
      <c r="C324" s="22">
        <v>-1</v>
      </c>
      <c r="D324" s="22">
        <v>-1</v>
      </c>
      <c r="E324" s="22">
        <v>1</v>
      </c>
      <c r="F324" s="22">
        <v>1</v>
      </c>
      <c r="G324" s="22">
        <v>-1</v>
      </c>
      <c r="H324" s="22">
        <v>-1</v>
      </c>
    </row>
    <row r="325" spans="1:8" x14ac:dyDescent="0.25">
      <c r="A325" s="22">
        <v>912</v>
      </c>
      <c r="B325" s="22">
        <v>0</v>
      </c>
      <c r="C325" s="22">
        <v>1</v>
      </c>
      <c r="D325" s="22">
        <v>0</v>
      </c>
      <c r="E325" s="22">
        <v>1</v>
      </c>
      <c r="F325" s="22">
        <v>1</v>
      </c>
      <c r="G325" s="22">
        <v>1</v>
      </c>
      <c r="H325" s="22">
        <v>0</v>
      </c>
    </row>
    <row r="326" spans="1:8" x14ac:dyDescent="0.25">
      <c r="A326" s="22">
        <v>912</v>
      </c>
      <c r="B326" s="22">
        <v>1</v>
      </c>
      <c r="C326" s="22">
        <v>-1</v>
      </c>
      <c r="D326" s="22">
        <v>-1</v>
      </c>
      <c r="E326" s="22">
        <v>1</v>
      </c>
      <c r="F326" s="22">
        <v>-1</v>
      </c>
      <c r="G326" s="22">
        <v>0</v>
      </c>
      <c r="H326" s="22">
        <v>1</v>
      </c>
    </row>
    <row r="327" spans="1:8" x14ac:dyDescent="0.25">
      <c r="A327" s="22">
        <v>1001</v>
      </c>
      <c r="B327" s="22">
        <v>1</v>
      </c>
      <c r="C327" s="22">
        <v>0</v>
      </c>
      <c r="D327" s="22">
        <v>1</v>
      </c>
      <c r="E327" s="22">
        <v>-1</v>
      </c>
      <c r="F327" s="22">
        <v>1</v>
      </c>
      <c r="G327" s="22">
        <v>-1</v>
      </c>
      <c r="H327" s="22">
        <v>-1</v>
      </c>
    </row>
    <row r="328" spans="1:8" x14ac:dyDescent="0.25">
      <c r="A328" s="22">
        <v>1001</v>
      </c>
      <c r="B328" s="22">
        <v>0</v>
      </c>
      <c r="C328" s="22">
        <v>1</v>
      </c>
      <c r="D328" s="22">
        <v>0</v>
      </c>
      <c r="E328" s="22">
        <v>1</v>
      </c>
      <c r="F328" s="22">
        <v>-1</v>
      </c>
      <c r="G328" s="22">
        <v>-1</v>
      </c>
      <c r="H328" s="22">
        <v>-1</v>
      </c>
    </row>
    <row r="329" spans="1:8" x14ac:dyDescent="0.25">
      <c r="A329" s="22">
        <v>1001</v>
      </c>
      <c r="B329" s="22">
        <v>0</v>
      </c>
      <c r="C329" s="22">
        <v>0</v>
      </c>
      <c r="D329" s="22">
        <v>1</v>
      </c>
      <c r="E329" s="22">
        <v>1</v>
      </c>
      <c r="F329" s="22">
        <v>1</v>
      </c>
      <c r="G329" s="22">
        <v>1</v>
      </c>
      <c r="H329" s="22">
        <v>0</v>
      </c>
    </row>
    <row r="330" spans="1:8" x14ac:dyDescent="0.25">
      <c r="A330" s="22">
        <v>1002</v>
      </c>
      <c r="B330" s="22">
        <v>1</v>
      </c>
      <c r="C330" s="22">
        <v>0</v>
      </c>
      <c r="D330" s="22">
        <v>1</v>
      </c>
      <c r="E330" s="22">
        <v>1</v>
      </c>
      <c r="F330" s="22">
        <v>-1</v>
      </c>
      <c r="G330" s="22">
        <v>0</v>
      </c>
      <c r="H330" s="22">
        <v>1</v>
      </c>
    </row>
    <row r="331" spans="1:8" x14ac:dyDescent="0.25">
      <c r="A331" s="22">
        <v>1002</v>
      </c>
      <c r="B331" s="22">
        <v>0</v>
      </c>
      <c r="C331" s="22">
        <v>1</v>
      </c>
      <c r="D331" s="22">
        <v>0</v>
      </c>
      <c r="E331" s="22">
        <v>-1</v>
      </c>
      <c r="F331" s="22">
        <v>-1</v>
      </c>
      <c r="G331" s="22">
        <v>1</v>
      </c>
      <c r="H331" s="22">
        <v>0</v>
      </c>
    </row>
    <row r="332" spans="1:8" x14ac:dyDescent="0.25">
      <c r="A332" s="22">
        <v>1002</v>
      </c>
      <c r="B332" s="22">
        <v>0</v>
      </c>
      <c r="C332" s="22">
        <v>1</v>
      </c>
      <c r="D332" s="22">
        <v>0</v>
      </c>
      <c r="E332" s="22">
        <v>1</v>
      </c>
      <c r="F332" s="22">
        <v>1</v>
      </c>
      <c r="G332" s="22">
        <v>1</v>
      </c>
      <c r="H332" s="22">
        <v>0</v>
      </c>
    </row>
    <row r="333" spans="1:8" x14ac:dyDescent="0.25">
      <c r="A333" s="22">
        <v>1003</v>
      </c>
      <c r="B333" s="22">
        <v>0</v>
      </c>
      <c r="C333" s="22">
        <v>1</v>
      </c>
      <c r="D333" s="22">
        <v>0</v>
      </c>
      <c r="E333" s="22">
        <v>-1</v>
      </c>
      <c r="F333" s="22">
        <v>-1</v>
      </c>
      <c r="G333" s="22">
        <v>1</v>
      </c>
      <c r="H333" s="22">
        <v>0</v>
      </c>
    </row>
    <row r="334" spans="1:8" x14ac:dyDescent="0.25">
      <c r="A334" s="22">
        <v>1003</v>
      </c>
      <c r="B334" s="22">
        <v>1</v>
      </c>
      <c r="C334" s="22">
        <v>-1</v>
      </c>
      <c r="D334" s="22">
        <v>-1</v>
      </c>
      <c r="E334" s="22">
        <v>1</v>
      </c>
      <c r="F334" s="22">
        <v>-1</v>
      </c>
      <c r="G334" s="22">
        <v>0</v>
      </c>
      <c r="H334" s="22">
        <v>1</v>
      </c>
    </row>
    <row r="335" spans="1:8" x14ac:dyDescent="0.25">
      <c r="A335" s="22">
        <v>1003</v>
      </c>
      <c r="B335" s="22">
        <v>0</v>
      </c>
      <c r="C335" s="22">
        <v>1</v>
      </c>
      <c r="D335" s="22">
        <v>0</v>
      </c>
      <c r="E335" s="22">
        <v>1</v>
      </c>
      <c r="F335" s="22">
        <v>-1</v>
      </c>
      <c r="G335" s="22">
        <v>-1</v>
      </c>
      <c r="H335" s="22">
        <v>-1</v>
      </c>
    </row>
    <row r="336" spans="1:8" x14ac:dyDescent="0.25">
      <c r="A336" s="22">
        <v>1004</v>
      </c>
      <c r="B336" s="22">
        <v>0</v>
      </c>
      <c r="C336" s="22">
        <v>1</v>
      </c>
      <c r="D336" s="22">
        <v>0</v>
      </c>
      <c r="E336" s="22">
        <v>1</v>
      </c>
      <c r="F336" s="22">
        <v>-1</v>
      </c>
      <c r="G336" s="22">
        <v>-1</v>
      </c>
      <c r="H336" s="22">
        <v>-1</v>
      </c>
    </row>
    <row r="337" spans="1:8" x14ac:dyDescent="0.25">
      <c r="A337" s="22">
        <v>1004</v>
      </c>
      <c r="B337" s="22">
        <v>1</v>
      </c>
      <c r="C337" s="22">
        <v>-1</v>
      </c>
      <c r="D337" s="22">
        <v>-1</v>
      </c>
      <c r="E337" s="22">
        <v>1</v>
      </c>
      <c r="F337" s="22">
        <v>1</v>
      </c>
      <c r="G337" s="22">
        <v>-1</v>
      </c>
      <c r="H337" s="22">
        <v>-1</v>
      </c>
    </row>
    <row r="338" spans="1:8" x14ac:dyDescent="0.25">
      <c r="A338" s="22">
        <v>1004</v>
      </c>
      <c r="B338" s="22">
        <v>0</v>
      </c>
      <c r="C338" s="22">
        <v>1</v>
      </c>
      <c r="D338" s="22">
        <v>0</v>
      </c>
      <c r="E338" s="22">
        <v>-1</v>
      </c>
      <c r="F338" s="22">
        <v>-1</v>
      </c>
      <c r="G338" s="22">
        <v>1</v>
      </c>
      <c r="H338" s="22">
        <v>0</v>
      </c>
    </row>
    <row r="339" spans="1:8" x14ac:dyDescent="0.25">
      <c r="A339" s="22">
        <v>1005</v>
      </c>
      <c r="B339" s="22">
        <v>0</v>
      </c>
      <c r="C339" s="22">
        <v>-1</v>
      </c>
      <c r="D339" s="22">
        <v>-1</v>
      </c>
      <c r="E339" s="22">
        <v>-1</v>
      </c>
      <c r="F339" s="22">
        <v>-1</v>
      </c>
      <c r="G339" s="22">
        <v>1</v>
      </c>
      <c r="H339" s="22">
        <v>0</v>
      </c>
    </row>
    <row r="340" spans="1:8" x14ac:dyDescent="0.25">
      <c r="A340" s="22">
        <v>1005</v>
      </c>
      <c r="B340" s="22">
        <v>0</v>
      </c>
      <c r="C340" s="22">
        <v>0</v>
      </c>
      <c r="D340" s="22">
        <v>1</v>
      </c>
      <c r="E340" s="22">
        <v>1</v>
      </c>
      <c r="F340" s="22">
        <v>1</v>
      </c>
      <c r="G340" s="22">
        <v>1</v>
      </c>
      <c r="H340" s="22">
        <v>0</v>
      </c>
    </row>
    <row r="341" spans="1:8" x14ac:dyDescent="0.25">
      <c r="A341" s="22">
        <v>1005</v>
      </c>
      <c r="B341" s="22">
        <v>1</v>
      </c>
      <c r="C341" s="22">
        <v>1</v>
      </c>
      <c r="D341" s="22">
        <v>0</v>
      </c>
      <c r="E341" s="22">
        <v>-1</v>
      </c>
      <c r="F341" s="22">
        <v>1</v>
      </c>
      <c r="G341" s="22">
        <v>0</v>
      </c>
      <c r="H341" s="22">
        <v>1</v>
      </c>
    </row>
    <row r="342" spans="1:8" x14ac:dyDescent="0.25">
      <c r="A342" s="22">
        <v>1006</v>
      </c>
      <c r="B342" s="22">
        <v>1</v>
      </c>
      <c r="C342" s="22">
        <v>1</v>
      </c>
      <c r="D342" s="22">
        <v>0</v>
      </c>
      <c r="E342" s="22">
        <v>-1</v>
      </c>
      <c r="F342" s="22">
        <v>1</v>
      </c>
      <c r="G342" s="22">
        <v>0</v>
      </c>
      <c r="H342" s="22">
        <v>1</v>
      </c>
    </row>
    <row r="343" spans="1:8" x14ac:dyDescent="0.25">
      <c r="A343" s="22">
        <v>1006</v>
      </c>
      <c r="B343" s="22">
        <v>0</v>
      </c>
      <c r="C343" s="22">
        <v>0</v>
      </c>
      <c r="D343" s="22">
        <v>1</v>
      </c>
      <c r="E343" s="22">
        <v>1</v>
      </c>
      <c r="F343" s="22">
        <v>-1</v>
      </c>
      <c r="G343" s="22">
        <v>0</v>
      </c>
      <c r="H343" s="22">
        <v>1</v>
      </c>
    </row>
    <row r="344" spans="1:8" x14ac:dyDescent="0.25">
      <c r="A344" s="22">
        <v>1006</v>
      </c>
      <c r="B344" s="22">
        <v>0</v>
      </c>
      <c r="C344" s="22">
        <v>0</v>
      </c>
      <c r="D344" s="22">
        <v>1</v>
      </c>
      <c r="E344" s="22">
        <v>-1</v>
      </c>
      <c r="F344" s="22">
        <v>1</v>
      </c>
      <c r="G344" s="22">
        <v>-1</v>
      </c>
      <c r="H344" s="22">
        <v>-1</v>
      </c>
    </row>
    <row r="345" spans="1:8" x14ac:dyDescent="0.25">
      <c r="A345" s="22">
        <v>1007</v>
      </c>
      <c r="B345" s="22">
        <v>0</v>
      </c>
      <c r="C345" s="22">
        <v>-1</v>
      </c>
      <c r="D345" s="22">
        <v>-1</v>
      </c>
      <c r="E345" s="22">
        <v>-1</v>
      </c>
      <c r="F345" s="22">
        <v>1</v>
      </c>
      <c r="G345" s="22">
        <v>0</v>
      </c>
      <c r="H345" s="22">
        <v>1</v>
      </c>
    </row>
    <row r="346" spans="1:8" x14ac:dyDescent="0.25">
      <c r="A346" s="22">
        <v>1007</v>
      </c>
      <c r="B346" s="22">
        <v>0</v>
      </c>
      <c r="C346" s="22">
        <v>0</v>
      </c>
      <c r="D346" s="22">
        <v>1</v>
      </c>
      <c r="E346" s="22">
        <v>-1</v>
      </c>
      <c r="F346" s="22">
        <v>-1</v>
      </c>
      <c r="G346" s="22">
        <v>-1</v>
      </c>
      <c r="H346" s="22">
        <v>-1</v>
      </c>
    </row>
    <row r="347" spans="1:8" x14ac:dyDescent="0.25">
      <c r="A347" s="22">
        <v>1007</v>
      </c>
      <c r="B347" s="22">
        <v>1</v>
      </c>
      <c r="C347" s="22">
        <v>-1</v>
      </c>
      <c r="D347" s="22">
        <v>-1</v>
      </c>
      <c r="E347" s="22">
        <v>1</v>
      </c>
      <c r="F347" s="22">
        <v>1</v>
      </c>
      <c r="G347" s="22">
        <v>-1</v>
      </c>
      <c r="H347" s="22">
        <v>-1</v>
      </c>
    </row>
    <row r="348" spans="1:8" x14ac:dyDescent="0.25">
      <c r="A348" s="22">
        <v>1008</v>
      </c>
      <c r="B348" s="22">
        <v>0</v>
      </c>
      <c r="C348" s="22">
        <v>1</v>
      </c>
      <c r="D348" s="22">
        <v>0</v>
      </c>
      <c r="E348" s="22">
        <v>1</v>
      </c>
      <c r="F348" s="22">
        <v>1</v>
      </c>
      <c r="G348" s="22">
        <v>1</v>
      </c>
      <c r="H348" s="22">
        <v>0</v>
      </c>
    </row>
    <row r="349" spans="1:8" x14ac:dyDescent="0.25">
      <c r="A349" s="22">
        <v>1008</v>
      </c>
      <c r="B349" s="22">
        <v>1</v>
      </c>
      <c r="C349" s="22">
        <v>1</v>
      </c>
      <c r="D349" s="22">
        <v>0</v>
      </c>
      <c r="E349" s="22">
        <v>-1</v>
      </c>
      <c r="F349" s="22">
        <v>1</v>
      </c>
      <c r="G349" s="22">
        <v>0</v>
      </c>
      <c r="H349" s="22">
        <v>1</v>
      </c>
    </row>
    <row r="350" spans="1:8" x14ac:dyDescent="0.25">
      <c r="A350" s="22">
        <v>1008</v>
      </c>
      <c r="B350" s="22">
        <v>0</v>
      </c>
      <c r="C350" s="22">
        <v>-1</v>
      </c>
      <c r="D350" s="22">
        <v>-1</v>
      </c>
      <c r="E350" s="22">
        <v>-1</v>
      </c>
      <c r="F350" s="22">
        <v>-1</v>
      </c>
      <c r="G350" s="22">
        <v>1</v>
      </c>
      <c r="H350" s="22">
        <v>0</v>
      </c>
    </row>
    <row r="351" spans="1:8" x14ac:dyDescent="0.25">
      <c r="A351" s="22">
        <v>1009</v>
      </c>
      <c r="B351" s="22">
        <v>0</v>
      </c>
      <c r="C351" s="22">
        <v>0</v>
      </c>
      <c r="D351" s="22">
        <v>1</v>
      </c>
      <c r="E351" s="22">
        <v>-1</v>
      </c>
      <c r="F351" s="22">
        <v>-1</v>
      </c>
      <c r="G351" s="22">
        <v>-1</v>
      </c>
      <c r="H351" s="22">
        <v>-1</v>
      </c>
    </row>
    <row r="352" spans="1:8" x14ac:dyDescent="0.25">
      <c r="A352" s="22">
        <v>1009</v>
      </c>
      <c r="B352" s="22">
        <v>1</v>
      </c>
      <c r="C352" s="22">
        <v>0</v>
      </c>
      <c r="D352" s="22">
        <v>1</v>
      </c>
      <c r="E352" s="22">
        <v>-1</v>
      </c>
      <c r="F352" s="22">
        <v>1</v>
      </c>
      <c r="G352" s="22">
        <v>-1</v>
      </c>
      <c r="H352" s="22">
        <v>-1</v>
      </c>
    </row>
    <row r="353" spans="1:8" x14ac:dyDescent="0.25">
      <c r="A353" s="22">
        <v>1009</v>
      </c>
      <c r="B353" s="22">
        <v>0</v>
      </c>
      <c r="C353" s="22">
        <v>0</v>
      </c>
      <c r="D353" s="22">
        <v>1</v>
      </c>
      <c r="E353" s="22">
        <v>1</v>
      </c>
      <c r="F353" s="22">
        <v>-1</v>
      </c>
      <c r="G353" s="22">
        <v>0</v>
      </c>
      <c r="H353" s="22">
        <v>1</v>
      </c>
    </row>
    <row r="354" spans="1:8" x14ac:dyDescent="0.25">
      <c r="A354" s="22">
        <v>1010</v>
      </c>
      <c r="B354" s="22">
        <v>0</v>
      </c>
      <c r="C354" s="22">
        <v>0</v>
      </c>
      <c r="D354" s="22">
        <v>1</v>
      </c>
      <c r="E354" s="22">
        <v>1</v>
      </c>
      <c r="F354" s="22">
        <v>1</v>
      </c>
      <c r="G354" s="22">
        <v>1</v>
      </c>
      <c r="H354" s="22">
        <v>0</v>
      </c>
    </row>
    <row r="355" spans="1:8" x14ac:dyDescent="0.25">
      <c r="A355" s="22">
        <v>1010</v>
      </c>
      <c r="B355" s="22">
        <v>1</v>
      </c>
      <c r="C355" s="22">
        <v>-1</v>
      </c>
      <c r="D355" s="22">
        <v>-1</v>
      </c>
      <c r="E355" s="22">
        <v>-1</v>
      </c>
      <c r="F355" s="22">
        <v>-1</v>
      </c>
      <c r="G355" s="22">
        <v>1</v>
      </c>
      <c r="H355" s="22">
        <v>0</v>
      </c>
    </row>
    <row r="356" spans="1:8" x14ac:dyDescent="0.25">
      <c r="A356" s="22">
        <v>1010</v>
      </c>
      <c r="B356" s="22">
        <v>0</v>
      </c>
      <c r="C356" s="22">
        <v>-1</v>
      </c>
      <c r="D356" s="22">
        <v>-1</v>
      </c>
      <c r="E356" s="22">
        <v>-1</v>
      </c>
      <c r="F356" s="22">
        <v>1</v>
      </c>
      <c r="G356" s="22">
        <v>0</v>
      </c>
      <c r="H356" s="22">
        <v>1</v>
      </c>
    </row>
    <row r="357" spans="1:8" x14ac:dyDescent="0.25">
      <c r="A357" s="22">
        <v>1011</v>
      </c>
      <c r="B357" s="22">
        <v>1</v>
      </c>
      <c r="C357" s="22">
        <v>-1</v>
      </c>
      <c r="D357" s="22">
        <v>-1</v>
      </c>
      <c r="E357" s="22">
        <v>1</v>
      </c>
      <c r="F357" s="22">
        <v>-1</v>
      </c>
      <c r="G357" s="22">
        <v>0</v>
      </c>
      <c r="H357" s="22">
        <v>1</v>
      </c>
    </row>
    <row r="358" spans="1:8" x14ac:dyDescent="0.25">
      <c r="A358" s="22">
        <v>1011</v>
      </c>
      <c r="B358" s="22">
        <v>0</v>
      </c>
      <c r="C358" s="22">
        <v>-1</v>
      </c>
      <c r="D358" s="22">
        <v>-1</v>
      </c>
      <c r="E358" s="22">
        <v>-1</v>
      </c>
      <c r="F358" s="22">
        <v>1</v>
      </c>
      <c r="G358" s="22">
        <v>0</v>
      </c>
      <c r="H358" s="22">
        <v>1</v>
      </c>
    </row>
    <row r="359" spans="1:8" x14ac:dyDescent="0.25">
      <c r="A359" s="22">
        <v>1011</v>
      </c>
      <c r="B359" s="22">
        <v>0</v>
      </c>
      <c r="C359" s="22">
        <v>0</v>
      </c>
      <c r="D359" s="22">
        <v>1</v>
      </c>
      <c r="E359" s="22">
        <v>-1</v>
      </c>
      <c r="F359" s="22">
        <v>-1</v>
      </c>
      <c r="G359" s="22">
        <v>-1</v>
      </c>
      <c r="H359" s="22">
        <v>-1</v>
      </c>
    </row>
    <row r="360" spans="1:8" x14ac:dyDescent="0.25">
      <c r="A360" s="22">
        <v>1012</v>
      </c>
      <c r="B360" s="22">
        <v>1</v>
      </c>
      <c r="C360" s="22">
        <v>-1</v>
      </c>
      <c r="D360" s="22">
        <v>-1</v>
      </c>
      <c r="E360" s="22">
        <v>1</v>
      </c>
      <c r="F360" s="22">
        <v>1</v>
      </c>
      <c r="G360" s="22">
        <v>-1</v>
      </c>
      <c r="H360" s="22">
        <v>-1</v>
      </c>
    </row>
    <row r="361" spans="1:8" x14ac:dyDescent="0.25">
      <c r="A361" s="22">
        <v>1012</v>
      </c>
      <c r="B361" s="22">
        <v>0</v>
      </c>
      <c r="C361" s="22">
        <v>1</v>
      </c>
      <c r="D361" s="22">
        <v>0</v>
      </c>
      <c r="E361" s="22">
        <v>1</v>
      </c>
      <c r="F361" s="22">
        <v>1</v>
      </c>
      <c r="G361" s="22">
        <v>1</v>
      </c>
      <c r="H361" s="22">
        <v>0</v>
      </c>
    </row>
    <row r="362" spans="1:8" x14ac:dyDescent="0.25">
      <c r="A362" s="22">
        <v>1012</v>
      </c>
      <c r="B362" s="22">
        <v>0</v>
      </c>
      <c r="C362" s="22">
        <v>-1</v>
      </c>
      <c r="D362" s="22">
        <v>-1</v>
      </c>
      <c r="E362" s="22">
        <v>1</v>
      </c>
      <c r="F362" s="22">
        <v>-1</v>
      </c>
      <c r="G362" s="22">
        <v>0</v>
      </c>
      <c r="H362" s="22">
        <v>1</v>
      </c>
    </row>
  </sheetData>
  <mergeCells count="2">
    <mergeCell ref="C1:D1"/>
    <mergeCell ref="G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P362"/>
  <sheetViews>
    <sheetView tabSelected="1" workbookViewId="0">
      <selection activeCell="AI4" sqref="AI4"/>
    </sheetView>
  </sheetViews>
  <sheetFormatPr defaultRowHeight="15" x14ac:dyDescent="0.25"/>
  <cols>
    <col min="35" max="35" width="19.7109375" bestFit="1" customWidth="1"/>
    <col min="36" max="36" width="19.7109375" customWidth="1"/>
    <col min="37" max="37" width="12.85546875" bestFit="1" customWidth="1"/>
    <col min="38" max="38" width="12" bestFit="1" customWidth="1"/>
    <col min="39" max="39" width="12.28515625" bestFit="1" customWidth="1"/>
    <col min="41" max="41" width="13.5703125" bestFit="1" customWidth="1"/>
  </cols>
  <sheetData>
    <row r="1" spans="1:42" x14ac:dyDescent="0.25">
      <c r="C1" s="25" t="s">
        <v>85</v>
      </c>
      <c r="D1" s="25"/>
      <c r="E1" t="s">
        <v>86</v>
      </c>
      <c r="F1" t="s">
        <v>87</v>
      </c>
      <c r="G1" s="25" t="s">
        <v>88</v>
      </c>
      <c r="H1" s="25"/>
      <c r="I1" s="20"/>
    </row>
    <row r="2" spans="1:42" x14ac:dyDescent="0.2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  <c r="F2" s="11" t="s">
        <v>63</v>
      </c>
      <c r="G2" s="11" t="s">
        <v>64</v>
      </c>
      <c r="H2" s="11" t="s">
        <v>65</v>
      </c>
      <c r="I2" s="20" t="s">
        <v>21</v>
      </c>
      <c r="J2" s="3" t="s">
        <v>66</v>
      </c>
      <c r="K2" s="3" t="s">
        <v>67</v>
      </c>
      <c r="L2" s="3" t="s">
        <v>68</v>
      </c>
      <c r="M2" s="3" t="s">
        <v>69</v>
      </c>
      <c r="N2" s="3" t="s">
        <v>70</v>
      </c>
      <c r="O2" s="3" t="s">
        <v>71</v>
      </c>
      <c r="P2" s="3" t="s">
        <v>72</v>
      </c>
      <c r="Q2" s="3" t="s">
        <v>73</v>
      </c>
      <c r="R2" s="3" t="s">
        <v>74</v>
      </c>
      <c r="S2" s="3" t="s">
        <v>75</v>
      </c>
      <c r="T2" s="3" t="s">
        <v>76</v>
      </c>
      <c r="U2" s="30" t="s">
        <v>77</v>
      </c>
      <c r="V2" s="30"/>
      <c r="W2" s="30"/>
      <c r="X2" s="30" t="s">
        <v>78</v>
      </c>
      <c r="Y2" s="30"/>
      <c r="Z2" s="30"/>
      <c r="AA2" s="30" t="s">
        <v>79</v>
      </c>
      <c r="AB2" s="30"/>
      <c r="AC2" s="30"/>
      <c r="AD2" s="3" t="s">
        <v>80</v>
      </c>
      <c r="AE2" s="3" t="s">
        <v>81</v>
      </c>
      <c r="AF2" s="3" t="s">
        <v>82</v>
      </c>
      <c r="AG2" s="3" t="s">
        <v>83</v>
      </c>
      <c r="AH2" s="3"/>
      <c r="AI2" s="3"/>
      <c r="AJ2" s="3" t="s">
        <v>95</v>
      </c>
      <c r="AK2" s="3" t="s">
        <v>96</v>
      </c>
      <c r="AL2" s="3"/>
      <c r="AM2" s="12" t="s">
        <v>84</v>
      </c>
      <c r="AO2" s="13" t="s">
        <v>10</v>
      </c>
    </row>
    <row r="3" spans="1:42" x14ac:dyDescent="0.25">
      <c r="A3" s="14">
        <v>101</v>
      </c>
      <c r="B3" s="14">
        <v>0</v>
      </c>
      <c r="C3" s="14">
        <v>0</v>
      </c>
      <c r="D3" s="14">
        <v>1</v>
      </c>
      <c r="E3" s="14">
        <v>-1</v>
      </c>
      <c r="F3" s="14">
        <v>1</v>
      </c>
      <c r="G3" s="14">
        <v>-1</v>
      </c>
      <c r="H3" s="14">
        <v>-1</v>
      </c>
      <c r="I3" s="21">
        <v>0.83299999999999996</v>
      </c>
      <c r="J3" s="13">
        <v>0.62704214563123761</v>
      </c>
      <c r="K3" s="15">
        <v>-1.2994553906749542</v>
      </c>
      <c r="L3" s="13">
        <v>6.765761758361113E-3</v>
      </c>
      <c r="M3" s="13">
        <v>0.2371868091853806</v>
      </c>
      <c r="N3" s="13">
        <v>1.5929727739069521</v>
      </c>
      <c r="O3" s="13">
        <v>-0.22891399176224572</v>
      </c>
      <c r="P3">
        <f>SUMPRODUCT(C3:H3,$J$3:$O$3)</f>
        <v>-2.4330931253926411</v>
      </c>
      <c r="Q3">
        <f>EXP(P3)</f>
        <v>8.7764944329027011E-2</v>
      </c>
      <c r="R3">
        <v>1</v>
      </c>
      <c r="S3">
        <v>2</v>
      </c>
      <c r="T3">
        <v>3</v>
      </c>
      <c r="U3">
        <f ca="1">OFFSET($Q$2,R3,0)</f>
        <v>8.7764944329027011E-2</v>
      </c>
      <c r="V3">
        <f ca="1">OFFSET($Q$2,S3,0)</f>
        <v>0.38005561415131528</v>
      </c>
      <c r="W3">
        <f ca="1">OFFSET($Q$2,T3,0)</f>
        <v>1.7116707737529904</v>
      </c>
      <c r="X3">
        <f ca="1">U3/SUM($U3:$W3)</f>
        <v>4.0268544788886106E-2</v>
      </c>
      <c r="Y3">
        <f t="shared" ref="Y3:Z18" ca="1" si="0">V3/SUM($U3:$W3)</f>
        <v>0.17437812600147892</v>
      </c>
      <c r="Z3">
        <f t="shared" ca="1" si="0"/>
        <v>0.78535332920963485</v>
      </c>
      <c r="AA3">
        <f ca="1">OFFSET($B$2,R3,0)</f>
        <v>0</v>
      </c>
      <c r="AB3">
        <f ca="1">OFFSET($B$2,S3,0)</f>
        <v>0</v>
      </c>
      <c r="AC3">
        <f ca="1">OFFSET($B$2,T3,0)</f>
        <v>1</v>
      </c>
      <c r="AD3">
        <f ca="1">LN(X3)*AA3</f>
        <v>0</v>
      </c>
      <c r="AE3">
        <f ca="1">LN(Y3)*AB3</f>
        <v>0</v>
      </c>
      <c r="AF3">
        <f ca="1">LN(Z3)*AC3</f>
        <v>-0.24162156156076189</v>
      </c>
      <c r="AG3">
        <f ca="1">SUM(AD3:AF122)</f>
        <v>-82.993690360932163</v>
      </c>
      <c r="AJ3">
        <v>-82.993690360000002</v>
      </c>
      <c r="AK3">
        <v>-131.83000000000001</v>
      </c>
      <c r="AL3">
        <f>2*(AJ3-AK3)</f>
        <v>97.672619280000021</v>
      </c>
      <c r="AM3" s="16">
        <f>_xlfn.CHISQ.DIST.RT(AL3,6)</f>
        <v>7.671791438501216E-19</v>
      </c>
      <c r="AO3" s="13">
        <f>1-(AJ3/AK3)</f>
        <v>0.37044913631191689</v>
      </c>
    </row>
    <row r="4" spans="1:42" x14ac:dyDescent="0.25">
      <c r="A4" s="14">
        <v>101</v>
      </c>
      <c r="B4" s="14">
        <v>0</v>
      </c>
      <c r="C4" s="14">
        <v>1</v>
      </c>
      <c r="D4" s="14">
        <v>0</v>
      </c>
      <c r="E4" s="14">
        <v>1</v>
      </c>
      <c r="F4" s="14">
        <v>-1</v>
      </c>
      <c r="G4" s="14">
        <v>-1</v>
      </c>
      <c r="H4" s="14">
        <v>-1</v>
      </c>
      <c r="I4" s="14"/>
      <c r="P4">
        <f>SUMPRODUCT(C4:H4,$J$3:$O$3)</f>
        <v>-0.96743768394048846</v>
      </c>
      <c r="Q4">
        <f t="shared" ref="Q4:Q67" si="1">EXP(P4)</f>
        <v>0.38005561415131528</v>
      </c>
      <c r="R4">
        <v>4</v>
      </c>
      <c r="S4">
        <v>5</v>
      </c>
      <c r="T4">
        <v>6</v>
      </c>
      <c r="U4">
        <f ca="1">OFFSET($Q$2,R4,0)</f>
        <v>0.17225309005907632</v>
      </c>
      <c r="V4">
        <f t="shared" ref="V4:W19" ca="1" si="2">OFFSET($Q$2,S4,0)</f>
        <v>7.2142796641606211</v>
      </c>
      <c r="W4">
        <f t="shared" ca="1" si="2"/>
        <v>11.751342512917736</v>
      </c>
      <c r="X4">
        <f ca="1">U4/SUM($U4:$W4)</f>
        <v>9.000638140580863E-3</v>
      </c>
      <c r="Y4">
        <f t="shared" ca="1" si="0"/>
        <v>0.37696345928999803</v>
      </c>
      <c r="Z4">
        <f t="shared" ref="Z4:Z67" ca="1" si="3">W4/SUM($U4:$W4)</f>
        <v>0.6140359025694212</v>
      </c>
      <c r="AA4">
        <f ca="1">OFFSET($B$2,R4,0)</f>
        <v>0</v>
      </c>
      <c r="AB4">
        <f t="shared" ref="AB3:AC18" ca="1" si="4">OFFSET($B$2,S4,0)</f>
        <v>0</v>
      </c>
      <c r="AC4">
        <f t="shared" ca="1" si="4"/>
        <v>1</v>
      </c>
      <c r="AD4">
        <f t="shared" ref="AD4:AF67" ca="1" si="5">LN(X4)*AA4</f>
        <v>0</v>
      </c>
      <c r="AE4">
        <f t="shared" ref="AE4:AF18" ca="1" si="6">LN(Y4)*AB4</f>
        <v>0</v>
      </c>
      <c r="AF4">
        <f t="shared" ca="1" si="6"/>
        <v>-0.48770187930438819</v>
      </c>
      <c r="AJ4" t="s">
        <v>97</v>
      </c>
    </row>
    <row r="5" spans="1:42" ht="14.45" customHeight="1" x14ac:dyDescent="0.25">
      <c r="A5" s="14">
        <v>101</v>
      </c>
      <c r="B5" s="14">
        <v>1</v>
      </c>
      <c r="C5" s="14">
        <v>0</v>
      </c>
      <c r="D5" s="14">
        <v>1</v>
      </c>
      <c r="E5" s="14">
        <v>1</v>
      </c>
      <c r="F5" s="14">
        <v>1</v>
      </c>
      <c r="G5" s="14">
        <v>1</v>
      </c>
      <c r="H5" s="14">
        <v>0</v>
      </c>
      <c r="I5" s="14"/>
      <c r="P5">
        <f t="shared" ref="P5:P68" si="7">SUMPRODUCT(C5:H5,$J$3:$O$3)</f>
        <v>0.53746995417573973</v>
      </c>
      <c r="Q5">
        <f>EXP(P5)</f>
        <v>1.7116707737529904</v>
      </c>
      <c r="R5">
        <v>7</v>
      </c>
      <c r="S5">
        <v>8</v>
      </c>
      <c r="T5">
        <v>9</v>
      </c>
      <c r="U5">
        <f t="shared" ref="U5:W68" ca="1" si="8">OFFSET($Q$2,R5,0)</f>
        <v>7.2142796641606211</v>
      </c>
      <c r="V5">
        <f t="shared" ca="1" si="2"/>
        <v>1.2374814257516533</v>
      </c>
      <c r="W5">
        <f t="shared" ca="1" si="2"/>
        <v>0.38005561415131528</v>
      </c>
      <c r="X5">
        <f t="shared" ref="X5:X68" ca="1" si="9">U5/SUM($U5:$W5)</f>
        <v>0.81685115372030681</v>
      </c>
      <c r="Y5">
        <f t="shared" ca="1" si="0"/>
        <v>0.14011629398765468</v>
      </c>
      <c r="Z5">
        <f t="shared" ca="1" si="3"/>
        <v>4.3032552292038471E-2</v>
      </c>
      <c r="AA5">
        <f ca="1">OFFSET($B$2,R5,0)</f>
        <v>1</v>
      </c>
      <c r="AB5">
        <f t="shared" ca="1" si="4"/>
        <v>0</v>
      </c>
      <c r="AC5">
        <f t="shared" ca="1" si="4"/>
        <v>0</v>
      </c>
      <c r="AD5">
        <f ca="1">LN(X5)*AA5</f>
        <v>-0.20229838710894363</v>
      </c>
      <c r="AE5">
        <f t="shared" ca="1" si="6"/>
        <v>0</v>
      </c>
      <c r="AF5">
        <f t="shared" ca="1" si="6"/>
        <v>0</v>
      </c>
      <c r="AI5" t="s">
        <v>98</v>
      </c>
      <c r="AJ5">
        <v>-82.993690360000002</v>
      </c>
      <c r="AK5">
        <v>-93.206599999999995</v>
      </c>
      <c r="AL5">
        <f>2*(AJ5-AK5)</f>
        <v>20.425819279999985</v>
      </c>
      <c r="AM5">
        <f>_xlfn.CHISQ.DIST.RT(AL5,2)</f>
        <v>3.6693547345892496E-5</v>
      </c>
    </row>
    <row r="6" spans="1:42" x14ac:dyDescent="0.25">
      <c r="A6" s="11">
        <v>102</v>
      </c>
      <c r="B6" s="11">
        <v>0</v>
      </c>
      <c r="C6" s="11">
        <v>0</v>
      </c>
      <c r="D6" s="11">
        <v>1</v>
      </c>
      <c r="E6" s="11">
        <v>1</v>
      </c>
      <c r="F6" s="11">
        <v>-1</v>
      </c>
      <c r="G6" s="11">
        <v>0</v>
      </c>
      <c r="H6" s="11">
        <v>1</v>
      </c>
      <c r="I6" s="11"/>
      <c r="P6">
        <f t="shared" si="7"/>
        <v>-1.7587904298642194</v>
      </c>
      <c r="Q6">
        <f t="shared" si="1"/>
        <v>0.17225309005907632</v>
      </c>
      <c r="R6">
        <v>10</v>
      </c>
      <c r="S6">
        <v>11</v>
      </c>
      <c r="T6">
        <v>12</v>
      </c>
      <c r="U6">
        <f t="shared" ca="1" si="8"/>
        <v>0.38005561415131528</v>
      </c>
      <c r="V6">
        <f t="shared" ca="1" si="2"/>
        <v>0.63910087950999117</v>
      </c>
      <c r="W6">
        <f t="shared" ca="1" si="2"/>
        <v>7.2142796641606211</v>
      </c>
      <c r="X6">
        <f t="shared" ca="1" si="9"/>
        <v>4.6160024425555897E-2</v>
      </c>
      <c r="Y6">
        <f t="shared" ca="1" si="0"/>
        <v>7.7622619190753389E-2</v>
      </c>
      <c r="Z6">
        <f t="shared" ca="1" si="3"/>
        <v>0.87621735638369069</v>
      </c>
      <c r="AA6">
        <f t="shared" ref="AA6:AC69" ca="1" si="10">OFFSET($B$2,R6,0)</f>
        <v>0</v>
      </c>
      <c r="AB6">
        <f t="shared" ca="1" si="4"/>
        <v>0</v>
      </c>
      <c r="AC6">
        <f t="shared" ca="1" si="4"/>
        <v>1</v>
      </c>
      <c r="AD6">
        <f t="shared" ca="1" si="5"/>
        <v>0</v>
      </c>
      <c r="AE6">
        <f t="shared" ca="1" si="6"/>
        <v>0</v>
      </c>
      <c r="AF6">
        <f t="shared" ca="1" si="6"/>
        <v>-0.13214109509767194</v>
      </c>
    </row>
    <row r="7" spans="1:42" ht="14.45" x14ac:dyDescent="0.3">
      <c r="A7" s="11">
        <v>102</v>
      </c>
      <c r="B7" s="11">
        <v>0</v>
      </c>
      <c r="C7" s="11">
        <v>1</v>
      </c>
      <c r="D7" s="11">
        <v>0</v>
      </c>
      <c r="E7" s="11">
        <v>-1</v>
      </c>
      <c r="F7" s="11">
        <v>-1</v>
      </c>
      <c r="G7" s="11">
        <v>1</v>
      </c>
      <c r="H7" s="11">
        <v>0</v>
      </c>
      <c r="I7" s="11"/>
      <c r="P7">
        <f t="shared" si="7"/>
        <v>1.9760623485944482</v>
      </c>
      <c r="Q7">
        <f t="shared" si="1"/>
        <v>7.2142796641606211</v>
      </c>
      <c r="R7">
        <v>13</v>
      </c>
      <c r="S7">
        <v>14</v>
      </c>
      <c r="T7">
        <v>15</v>
      </c>
      <c r="U7">
        <f t="shared" ca="1" si="8"/>
        <v>7.5491384789895326</v>
      </c>
      <c r="V7">
        <f t="shared" ca="1" si="2"/>
        <v>1.7116707737529904</v>
      </c>
      <c r="W7">
        <f t="shared" ca="1" si="2"/>
        <v>1.8748885193273188</v>
      </c>
      <c r="X7">
        <f t="shared" ca="1" si="9"/>
        <v>0.67792235686604319</v>
      </c>
      <c r="Y7">
        <f t="shared" ca="1" si="0"/>
        <v>0.15371023969832781</v>
      </c>
      <c r="Z7">
        <f t="shared" ca="1" si="3"/>
        <v>0.16836740343562906</v>
      </c>
      <c r="AA7">
        <f t="shared" ca="1" si="10"/>
        <v>1</v>
      </c>
      <c r="AB7">
        <f t="shared" ca="1" si="4"/>
        <v>0</v>
      </c>
      <c r="AC7">
        <f t="shared" ca="1" si="4"/>
        <v>0</v>
      </c>
      <c r="AD7">
        <f t="shared" ca="1" si="5"/>
        <v>-0.38872251549610792</v>
      </c>
      <c r="AE7">
        <f t="shared" ca="1" si="6"/>
        <v>0</v>
      </c>
      <c r="AF7">
        <f t="shared" ca="1" si="6"/>
        <v>0</v>
      </c>
    </row>
    <row r="8" spans="1:42" ht="14.45" x14ac:dyDescent="0.3">
      <c r="A8" s="11">
        <v>102</v>
      </c>
      <c r="B8" s="11">
        <v>1</v>
      </c>
      <c r="C8" s="11">
        <v>1</v>
      </c>
      <c r="D8" s="11">
        <v>0</v>
      </c>
      <c r="E8" s="11">
        <v>1</v>
      </c>
      <c r="F8" s="11">
        <v>1</v>
      </c>
      <c r="G8" s="11">
        <v>1</v>
      </c>
      <c r="H8" s="11">
        <v>0</v>
      </c>
      <c r="I8" s="11"/>
      <c r="P8">
        <f t="shared" si="7"/>
        <v>2.4639674904819313</v>
      </c>
      <c r="Q8">
        <f t="shared" si="1"/>
        <v>11.751342512917736</v>
      </c>
      <c r="R8">
        <v>16</v>
      </c>
      <c r="S8">
        <v>17</v>
      </c>
      <c r="T8">
        <v>18</v>
      </c>
      <c r="U8">
        <f t="shared" ca="1" si="8"/>
        <v>1.8748885193273188</v>
      </c>
      <c r="V8">
        <f t="shared" ca="1" si="2"/>
        <v>0.17225309005907632</v>
      </c>
      <c r="W8">
        <f t="shared" ca="1" si="2"/>
        <v>8.7764944329027011E-2</v>
      </c>
      <c r="X8">
        <f t="shared" ca="1" si="9"/>
        <v>0.87820636273958297</v>
      </c>
      <c r="Y8">
        <f t="shared" ca="1" si="0"/>
        <v>8.0684135687016711E-2</v>
      </c>
      <c r="Z8">
        <f t="shared" ca="1" si="3"/>
        <v>4.1109501573400424E-2</v>
      </c>
      <c r="AA8">
        <f t="shared" ca="1" si="10"/>
        <v>1</v>
      </c>
      <c r="AB8">
        <f t="shared" ca="1" si="4"/>
        <v>0</v>
      </c>
      <c r="AC8">
        <f t="shared" ca="1" si="4"/>
        <v>0</v>
      </c>
      <c r="AD8">
        <f t="shared" ca="1" si="5"/>
        <v>-0.12987367567513783</v>
      </c>
      <c r="AE8">
        <f t="shared" ca="1" si="6"/>
        <v>0</v>
      </c>
      <c r="AF8">
        <f t="shared" ca="1" si="6"/>
        <v>0</v>
      </c>
    </row>
    <row r="9" spans="1:42" ht="14.45" x14ac:dyDescent="0.3">
      <c r="A9" s="14">
        <v>103</v>
      </c>
      <c r="B9" s="14">
        <v>1</v>
      </c>
      <c r="C9" s="14">
        <v>1</v>
      </c>
      <c r="D9" s="14">
        <v>0</v>
      </c>
      <c r="E9" s="14">
        <v>-1</v>
      </c>
      <c r="F9" s="14">
        <v>-1</v>
      </c>
      <c r="G9" s="14">
        <v>1</v>
      </c>
      <c r="H9" s="14">
        <v>0</v>
      </c>
      <c r="I9" s="14"/>
      <c r="P9">
        <f t="shared" si="7"/>
        <v>1.9760623485944482</v>
      </c>
      <c r="Q9">
        <f t="shared" si="1"/>
        <v>7.2142796641606211</v>
      </c>
      <c r="R9">
        <v>19</v>
      </c>
      <c r="S9">
        <v>20</v>
      </c>
      <c r="T9">
        <v>21</v>
      </c>
      <c r="U9">
        <f t="shared" ca="1" si="8"/>
        <v>1.9619135553315648</v>
      </c>
      <c r="V9">
        <f t="shared" ca="1" si="2"/>
        <v>5.4613905795243362E-2</v>
      </c>
      <c r="W9">
        <f t="shared" ca="1" si="2"/>
        <v>0.63910087950999117</v>
      </c>
      <c r="X9">
        <f t="shared" ca="1" si="9"/>
        <v>0.73877565068503259</v>
      </c>
      <c r="Y9">
        <f t="shared" ca="1" si="0"/>
        <v>2.0565342280594642E-2</v>
      </c>
      <c r="Z9">
        <f t="shared" ca="1" si="3"/>
        <v>0.24065900703437276</v>
      </c>
      <c r="AA9">
        <f t="shared" ca="1" si="10"/>
        <v>1</v>
      </c>
      <c r="AB9">
        <f t="shared" ca="1" si="4"/>
        <v>0</v>
      </c>
      <c r="AC9">
        <f t="shared" ca="1" si="4"/>
        <v>0</v>
      </c>
      <c r="AD9">
        <f t="shared" ca="1" si="5"/>
        <v>-0.30276098912514593</v>
      </c>
      <c r="AE9">
        <f t="shared" ca="1" si="6"/>
        <v>0</v>
      </c>
      <c r="AF9">
        <f t="shared" ca="1" si="6"/>
        <v>0</v>
      </c>
    </row>
    <row r="10" spans="1:42" ht="14.45" x14ac:dyDescent="0.3">
      <c r="A10" s="14">
        <v>103</v>
      </c>
      <c r="B10" s="14">
        <v>0</v>
      </c>
      <c r="C10" s="14">
        <v>-1</v>
      </c>
      <c r="D10" s="14">
        <v>-1</v>
      </c>
      <c r="E10" s="14">
        <v>1</v>
      </c>
      <c r="F10" s="14">
        <v>-1</v>
      </c>
      <c r="G10" s="14">
        <v>0</v>
      </c>
      <c r="H10" s="14">
        <v>1</v>
      </c>
      <c r="I10" s="14"/>
      <c r="P10">
        <f t="shared" si="7"/>
        <v>0.21307820585445134</v>
      </c>
      <c r="Q10">
        <f t="shared" si="1"/>
        <v>1.2374814257516533</v>
      </c>
      <c r="R10">
        <v>22</v>
      </c>
      <c r="S10">
        <v>23</v>
      </c>
      <c r="T10">
        <v>24</v>
      </c>
      <c r="U10">
        <f t="shared" ca="1" si="8"/>
        <v>11.751342512917736</v>
      </c>
      <c r="V10">
        <f t="shared" ca="1" si="2"/>
        <v>1.8748885193273188</v>
      </c>
      <c r="W10">
        <f t="shared" ca="1" si="2"/>
        <v>7.5491384789895326</v>
      </c>
      <c r="X10">
        <f t="shared" ca="1" si="9"/>
        <v>0.55495336252257899</v>
      </c>
      <c r="Y10">
        <f t="shared" ca="1" si="0"/>
        <v>8.8541006017986937E-2</v>
      </c>
      <c r="Z10">
        <f t="shared" ca="1" si="3"/>
        <v>0.35650563145943398</v>
      </c>
      <c r="AA10">
        <f t="shared" ca="1" si="10"/>
        <v>1</v>
      </c>
      <c r="AB10">
        <f t="shared" ca="1" si="4"/>
        <v>0</v>
      </c>
      <c r="AC10">
        <f t="shared" ca="1" si="4"/>
        <v>0</v>
      </c>
      <c r="AD10">
        <f t="shared" ca="1" si="5"/>
        <v>-0.5888712002573947</v>
      </c>
      <c r="AE10">
        <f t="shared" ca="1" si="6"/>
        <v>0</v>
      </c>
      <c r="AF10">
        <f t="shared" ca="1" si="6"/>
        <v>0</v>
      </c>
    </row>
    <row r="11" spans="1:42" ht="14.45" x14ac:dyDescent="0.3">
      <c r="A11" s="14">
        <v>103</v>
      </c>
      <c r="B11" s="14">
        <v>0</v>
      </c>
      <c r="C11" s="14">
        <v>1</v>
      </c>
      <c r="D11" s="14">
        <v>0</v>
      </c>
      <c r="E11" s="14">
        <v>1</v>
      </c>
      <c r="F11" s="14">
        <v>-1</v>
      </c>
      <c r="G11" s="14">
        <v>-1</v>
      </c>
      <c r="H11" s="14">
        <v>-1</v>
      </c>
      <c r="I11" s="14"/>
      <c r="P11">
        <f t="shared" si="7"/>
        <v>-0.96743768394048846</v>
      </c>
      <c r="Q11">
        <f t="shared" si="1"/>
        <v>0.38005561415131528</v>
      </c>
      <c r="R11">
        <v>25</v>
      </c>
      <c r="S11">
        <v>26</v>
      </c>
      <c r="T11">
        <v>27</v>
      </c>
      <c r="U11">
        <f t="shared" ca="1" si="8"/>
        <v>5.4613905795243362E-2</v>
      </c>
      <c r="V11">
        <f t="shared" ca="1" si="2"/>
        <v>8.7764944329027011E-2</v>
      </c>
      <c r="W11">
        <f t="shared" ca="1" si="2"/>
        <v>0.17225309005907632</v>
      </c>
      <c r="X11">
        <f t="shared" ca="1" si="9"/>
        <v>0.17358029754836074</v>
      </c>
      <c r="Y11">
        <f t="shared" ca="1" si="0"/>
        <v>0.27894480222790918</v>
      </c>
      <c r="Z11">
        <f t="shared" ca="1" si="3"/>
        <v>0.54747490022373002</v>
      </c>
      <c r="AA11">
        <f t="shared" ca="1" si="10"/>
        <v>0</v>
      </c>
      <c r="AB11">
        <f t="shared" ca="1" si="4"/>
        <v>0</v>
      </c>
      <c r="AC11">
        <f t="shared" ca="1" si="4"/>
        <v>1</v>
      </c>
      <c r="AD11">
        <f t="shared" ca="1" si="5"/>
        <v>0</v>
      </c>
      <c r="AE11">
        <f t="shared" ca="1" si="6"/>
        <v>0</v>
      </c>
      <c r="AF11">
        <f t="shared" ca="1" si="6"/>
        <v>-0.60243866268258417</v>
      </c>
    </row>
    <row r="12" spans="1:42" ht="14.45" x14ac:dyDescent="0.3">
      <c r="A12">
        <v>104</v>
      </c>
      <c r="B12">
        <v>0</v>
      </c>
      <c r="C12">
        <v>1</v>
      </c>
      <c r="D12">
        <v>0</v>
      </c>
      <c r="E12">
        <v>1</v>
      </c>
      <c r="F12">
        <v>-1</v>
      </c>
      <c r="G12">
        <v>-1</v>
      </c>
      <c r="H12">
        <v>-1</v>
      </c>
      <c r="P12">
        <f t="shared" si="7"/>
        <v>-0.96743768394048846</v>
      </c>
      <c r="Q12">
        <f t="shared" si="1"/>
        <v>0.38005561415131528</v>
      </c>
      <c r="R12">
        <v>28</v>
      </c>
      <c r="S12">
        <v>29</v>
      </c>
      <c r="T12">
        <v>30</v>
      </c>
      <c r="U12">
        <f t="shared" ca="1" si="8"/>
        <v>1.7116707737529904</v>
      </c>
      <c r="V12">
        <f t="shared" ca="1" si="2"/>
        <v>7.5491384789895326</v>
      </c>
      <c r="W12">
        <f t="shared" ca="1" si="2"/>
        <v>1.9619135553315648</v>
      </c>
      <c r="X12">
        <f t="shared" ca="1" si="9"/>
        <v>0.15251831512060016</v>
      </c>
      <c r="Y12">
        <f t="shared" ca="1" si="0"/>
        <v>0.67266550266735381</v>
      </c>
      <c r="Z12">
        <f t="shared" ca="1" si="3"/>
        <v>0.17481618221204606</v>
      </c>
      <c r="AA12">
        <f t="shared" ca="1" si="10"/>
        <v>0</v>
      </c>
      <c r="AB12">
        <f t="shared" ca="1" si="4"/>
        <v>1</v>
      </c>
      <c r="AC12">
        <f t="shared" ca="1" si="4"/>
        <v>0</v>
      </c>
      <c r="AD12">
        <f t="shared" ca="1" si="5"/>
        <v>0</v>
      </c>
      <c r="AE12">
        <f t="shared" ca="1" si="6"/>
        <v>-0.39650709716333266</v>
      </c>
      <c r="AF12">
        <f t="shared" ca="1" si="6"/>
        <v>0</v>
      </c>
    </row>
    <row r="13" spans="1:42" ht="14.45" x14ac:dyDescent="0.3">
      <c r="A13">
        <v>104</v>
      </c>
      <c r="B13">
        <v>0</v>
      </c>
      <c r="C13">
        <v>-1</v>
      </c>
      <c r="D13">
        <v>-1</v>
      </c>
      <c r="E13">
        <v>1</v>
      </c>
      <c r="F13">
        <v>1</v>
      </c>
      <c r="G13">
        <v>-1</v>
      </c>
      <c r="H13">
        <v>-1</v>
      </c>
      <c r="P13">
        <f t="shared" si="7"/>
        <v>-0.44769296615724818</v>
      </c>
      <c r="Q13">
        <f t="shared" si="1"/>
        <v>0.63910087950999117</v>
      </c>
      <c r="R13">
        <v>31</v>
      </c>
      <c r="S13">
        <v>32</v>
      </c>
      <c r="T13">
        <v>33</v>
      </c>
      <c r="U13">
        <f t="shared" ca="1" si="8"/>
        <v>1.2374814257516533</v>
      </c>
      <c r="V13">
        <f t="shared" ca="1" si="2"/>
        <v>1.9619135553315648</v>
      </c>
      <c r="W13">
        <f t="shared" ca="1" si="2"/>
        <v>5.4613905795243362E-2</v>
      </c>
      <c r="X13">
        <f t="shared" ca="1" si="9"/>
        <v>0.38029442105757644</v>
      </c>
      <c r="Y13">
        <f t="shared" ca="1" si="0"/>
        <v>0.60292200283866126</v>
      </c>
      <c r="Z13">
        <f t="shared" ca="1" si="3"/>
        <v>1.6783576103762254E-2</v>
      </c>
      <c r="AA13">
        <f t="shared" ca="1" si="10"/>
        <v>0</v>
      </c>
      <c r="AB13">
        <f t="shared" ca="1" si="4"/>
        <v>1</v>
      </c>
      <c r="AC13">
        <f t="shared" ca="1" si="4"/>
        <v>0</v>
      </c>
      <c r="AD13">
        <f t="shared" ca="1" si="5"/>
        <v>0</v>
      </c>
      <c r="AE13">
        <f t="shared" ca="1" si="6"/>
        <v>-0.50596743914746023</v>
      </c>
      <c r="AF13">
        <f t="shared" ca="1" si="6"/>
        <v>0</v>
      </c>
    </row>
    <row r="14" spans="1:42" ht="14.45" x14ac:dyDescent="0.3">
      <c r="A14">
        <v>104</v>
      </c>
      <c r="B14">
        <v>1</v>
      </c>
      <c r="C14">
        <v>1</v>
      </c>
      <c r="D14">
        <v>0</v>
      </c>
      <c r="E14">
        <v>-1</v>
      </c>
      <c r="F14">
        <v>-1</v>
      </c>
      <c r="G14">
        <v>1</v>
      </c>
      <c r="H14">
        <v>0</v>
      </c>
      <c r="P14">
        <f t="shared" si="7"/>
        <v>1.9760623485944482</v>
      </c>
      <c r="Q14">
        <f t="shared" si="1"/>
        <v>7.2142796641606211</v>
      </c>
      <c r="R14">
        <v>34</v>
      </c>
      <c r="S14">
        <v>35</v>
      </c>
      <c r="T14">
        <v>36</v>
      </c>
      <c r="U14">
        <f t="shared" ca="1" si="8"/>
        <v>0.63910087950999117</v>
      </c>
      <c r="V14">
        <f t="shared" ca="1" si="2"/>
        <v>11.751342512917736</v>
      </c>
      <c r="W14">
        <f t="shared" ca="1" si="2"/>
        <v>1.2374814257516533</v>
      </c>
      <c r="X14">
        <f t="shared" ca="1" si="9"/>
        <v>4.6896419523641875E-2</v>
      </c>
      <c r="Y14">
        <f t="shared" ca="1" si="0"/>
        <v>0.86229874832019027</v>
      </c>
      <c r="Z14">
        <f t="shared" ca="1" si="3"/>
        <v>9.0804832156167886E-2</v>
      </c>
      <c r="AA14">
        <f t="shared" ca="1" si="10"/>
        <v>0</v>
      </c>
      <c r="AB14">
        <f t="shared" ca="1" si="4"/>
        <v>1</v>
      </c>
      <c r="AC14">
        <f t="shared" ca="1" si="4"/>
        <v>0</v>
      </c>
      <c r="AD14">
        <f t="shared" ca="1" si="5"/>
        <v>0</v>
      </c>
      <c r="AE14">
        <f t="shared" ca="1" si="6"/>
        <v>-0.14815349258447313</v>
      </c>
      <c r="AF14">
        <f t="shared" ca="1" si="6"/>
        <v>0</v>
      </c>
      <c r="AK14" t="s">
        <v>99</v>
      </c>
      <c r="AL14" t="s">
        <v>100</v>
      </c>
      <c r="AM14" t="s">
        <v>104</v>
      </c>
      <c r="AN14" t="s">
        <v>101</v>
      </c>
      <c r="AO14" t="s">
        <v>102</v>
      </c>
      <c r="AP14" t="s">
        <v>103</v>
      </c>
    </row>
    <row r="15" spans="1:42" x14ac:dyDescent="0.25">
      <c r="A15">
        <v>105</v>
      </c>
      <c r="B15">
        <v>1</v>
      </c>
      <c r="C15">
        <v>-1</v>
      </c>
      <c r="D15">
        <v>-1</v>
      </c>
      <c r="E15">
        <v>-1</v>
      </c>
      <c r="F15">
        <v>-1</v>
      </c>
      <c r="G15">
        <v>1</v>
      </c>
      <c r="H15">
        <v>0</v>
      </c>
      <c r="P15">
        <f t="shared" si="7"/>
        <v>2.0214334480069271</v>
      </c>
      <c r="Q15">
        <f t="shared" si="1"/>
        <v>7.5491384789895326</v>
      </c>
      <c r="R15">
        <v>37</v>
      </c>
      <c r="S15">
        <v>38</v>
      </c>
      <c r="T15">
        <v>39</v>
      </c>
      <c r="U15">
        <f t="shared" ca="1" si="8"/>
        <v>8.7764944329027011E-2</v>
      </c>
      <c r="V15">
        <f t="shared" ca="1" si="2"/>
        <v>0.38005561415131528</v>
      </c>
      <c r="W15">
        <f t="shared" ca="1" si="2"/>
        <v>1.7116707737529904</v>
      </c>
      <c r="X15">
        <f t="shared" ca="1" si="9"/>
        <v>4.0268544788886106E-2</v>
      </c>
      <c r="Y15">
        <f t="shared" ca="1" si="0"/>
        <v>0.17437812600147892</v>
      </c>
      <c r="Z15">
        <f t="shared" ca="1" si="3"/>
        <v>0.78535332920963485</v>
      </c>
      <c r="AA15">
        <f t="shared" ca="1" si="10"/>
        <v>0</v>
      </c>
      <c r="AB15">
        <f t="shared" ca="1" si="4"/>
        <v>0</v>
      </c>
      <c r="AC15">
        <f t="shared" ca="1" si="4"/>
        <v>1</v>
      </c>
      <c r="AD15">
        <f t="shared" ca="1" si="5"/>
        <v>0</v>
      </c>
      <c r="AE15">
        <f t="shared" ca="1" si="6"/>
        <v>0</v>
      </c>
      <c r="AF15">
        <f t="shared" ca="1" si="6"/>
        <v>-0.24162156156076189</v>
      </c>
      <c r="AJ15" t="s">
        <v>89</v>
      </c>
      <c r="AK15">
        <v>0.62704612083347988</v>
      </c>
      <c r="AL15">
        <v>-1.2994643704976601</v>
      </c>
      <c r="AM15">
        <v>6.768143064253317E-3</v>
      </c>
      <c r="AN15">
        <v>0.2371915959194798</v>
      </c>
      <c r="AO15">
        <v>1.5929788644210348</v>
      </c>
      <c r="AP15">
        <v>-0.22891863899767279</v>
      </c>
    </row>
    <row r="16" spans="1:42" x14ac:dyDescent="0.25">
      <c r="A16">
        <v>105</v>
      </c>
      <c r="B16">
        <v>0</v>
      </c>
      <c r="C16">
        <v>0</v>
      </c>
      <c r="D16">
        <v>1</v>
      </c>
      <c r="E16">
        <v>1</v>
      </c>
      <c r="F16">
        <v>1</v>
      </c>
      <c r="G16">
        <v>1</v>
      </c>
      <c r="H16">
        <v>0</v>
      </c>
      <c r="P16">
        <f t="shared" si="7"/>
        <v>0.53746995417573973</v>
      </c>
      <c r="Q16">
        <f t="shared" si="1"/>
        <v>1.7116707737529904</v>
      </c>
      <c r="R16">
        <v>40</v>
      </c>
      <c r="S16">
        <v>41</v>
      </c>
      <c r="T16">
        <v>42</v>
      </c>
      <c r="U16">
        <f t="shared" ca="1" si="8"/>
        <v>0.17225309005907632</v>
      </c>
      <c r="V16">
        <f t="shared" ca="1" si="2"/>
        <v>7.2142796641606211</v>
      </c>
      <c r="W16">
        <f t="shared" ca="1" si="2"/>
        <v>11.751342512917736</v>
      </c>
      <c r="X16">
        <f t="shared" ca="1" si="9"/>
        <v>9.000638140580863E-3</v>
      </c>
      <c r="Y16">
        <f t="shared" ca="1" si="0"/>
        <v>0.37696345928999803</v>
      </c>
      <c r="Z16">
        <f t="shared" ca="1" si="3"/>
        <v>0.6140359025694212</v>
      </c>
      <c r="AA16">
        <f t="shared" ca="1" si="10"/>
        <v>0</v>
      </c>
      <c r="AB16">
        <f t="shared" ca="1" si="4"/>
        <v>0</v>
      </c>
      <c r="AC16">
        <f t="shared" ca="1" si="4"/>
        <v>1</v>
      </c>
      <c r="AD16">
        <f t="shared" ca="1" si="5"/>
        <v>0</v>
      </c>
      <c r="AE16">
        <f t="shared" ca="1" si="6"/>
        <v>0</v>
      </c>
      <c r="AF16">
        <f t="shared" ca="1" si="6"/>
        <v>-0.48770187930438819</v>
      </c>
      <c r="AI16" s="29" t="s">
        <v>85</v>
      </c>
      <c r="AJ16" s="10" t="s">
        <v>90</v>
      </c>
      <c r="AK16">
        <f>1*AK15+0*AL15</f>
        <v>0.62704612083347988</v>
      </c>
      <c r="AL16">
        <f>MAX(AK16:AK18)-MIN(AK16:AK18)</f>
        <v>1.9718826201618402</v>
      </c>
      <c r="AM16" s="17">
        <f>AL16/SUM($AL$16:$AL$23)</f>
        <v>0.36402813959909897</v>
      </c>
    </row>
    <row r="17" spans="1:39" x14ac:dyDescent="0.25">
      <c r="A17">
        <v>105</v>
      </c>
      <c r="B17">
        <v>0</v>
      </c>
      <c r="C17">
        <v>1</v>
      </c>
      <c r="D17">
        <v>0</v>
      </c>
      <c r="E17">
        <v>-1</v>
      </c>
      <c r="F17">
        <v>1</v>
      </c>
      <c r="G17">
        <v>0</v>
      </c>
      <c r="H17">
        <v>1</v>
      </c>
      <c r="P17">
        <f t="shared" si="7"/>
        <v>0.62854920129601144</v>
      </c>
      <c r="Q17">
        <f t="shared" si="1"/>
        <v>1.8748885193273188</v>
      </c>
      <c r="R17">
        <v>43</v>
      </c>
      <c r="S17">
        <v>44</v>
      </c>
      <c r="T17">
        <v>45</v>
      </c>
      <c r="U17">
        <f t="shared" ca="1" si="8"/>
        <v>7.2142796641606211</v>
      </c>
      <c r="V17">
        <f t="shared" ca="1" si="2"/>
        <v>1.2374814257516533</v>
      </c>
      <c r="W17">
        <f t="shared" ca="1" si="2"/>
        <v>0.38005561415131528</v>
      </c>
      <c r="X17">
        <f t="shared" ca="1" si="9"/>
        <v>0.81685115372030681</v>
      </c>
      <c r="Y17">
        <f t="shared" ca="1" si="0"/>
        <v>0.14011629398765468</v>
      </c>
      <c r="Z17">
        <f t="shared" ca="1" si="3"/>
        <v>4.3032552292038471E-2</v>
      </c>
      <c r="AA17">
        <f t="shared" ca="1" si="10"/>
        <v>1</v>
      </c>
      <c r="AB17">
        <f t="shared" ca="1" si="4"/>
        <v>0</v>
      </c>
      <c r="AC17">
        <f t="shared" ca="1" si="4"/>
        <v>0</v>
      </c>
      <c r="AD17">
        <f t="shared" ca="1" si="5"/>
        <v>-0.20229838710894363</v>
      </c>
      <c r="AE17">
        <f t="shared" ca="1" si="6"/>
        <v>0</v>
      </c>
      <c r="AF17">
        <f t="shared" ca="1" si="6"/>
        <v>0</v>
      </c>
      <c r="AI17" s="29"/>
      <c r="AJ17" s="10" t="s">
        <v>91</v>
      </c>
      <c r="AK17">
        <f>0*AK15+1*AL15</f>
        <v>-1.2994643704976601</v>
      </c>
      <c r="AM17" s="18"/>
    </row>
    <row r="18" spans="1:39" x14ac:dyDescent="0.25">
      <c r="A18">
        <v>106</v>
      </c>
      <c r="B18">
        <v>1</v>
      </c>
      <c r="C18">
        <v>1</v>
      </c>
      <c r="D18">
        <v>0</v>
      </c>
      <c r="E18">
        <v>-1</v>
      </c>
      <c r="F18">
        <v>1</v>
      </c>
      <c r="G18">
        <v>0</v>
      </c>
      <c r="H18">
        <v>1</v>
      </c>
      <c r="P18">
        <f t="shared" si="7"/>
        <v>0.62854920129601144</v>
      </c>
      <c r="Q18">
        <f t="shared" si="1"/>
        <v>1.8748885193273188</v>
      </c>
      <c r="R18">
        <v>46</v>
      </c>
      <c r="S18">
        <v>47</v>
      </c>
      <c r="T18">
        <v>48</v>
      </c>
      <c r="U18">
        <f t="shared" ca="1" si="8"/>
        <v>0.38005561415131528</v>
      </c>
      <c r="V18">
        <f t="shared" ca="1" si="2"/>
        <v>0.63910087950999117</v>
      </c>
      <c r="W18">
        <f t="shared" ca="1" si="2"/>
        <v>7.2142796641606211</v>
      </c>
      <c r="X18">
        <f t="shared" ca="1" si="9"/>
        <v>4.6160024425555897E-2</v>
      </c>
      <c r="Y18">
        <f t="shared" ca="1" si="0"/>
        <v>7.7622619190753389E-2</v>
      </c>
      <c r="Z18">
        <f t="shared" ca="1" si="3"/>
        <v>0.87621735638369069</v>
      </c>
      <c r="AA18">
        <f t="shared" ca="1" si="10"/>
        <v>0</v>
      </c>
      <c r="AB18">
        <f t="shared" ca="1" si="4"/>
        <v>0</v>
      </c>
      <c r="AC18">
        <f t="shared" ca="1" si="4"/>
        <v>1</v>
      </c>
      <c r="AD18">
        <f t="shared" ca="1" si="5"/>
        <v>0</v>
      </c>
      <c r="AE18">
        <f t="shared" ca="1" si="6"/>
        <v>0</v>
      </c>
      <c r="AF18">
        <f t="shared" ca="1" si="6"/>
        <v>-0.13214109509767194</v>
      </c>
      <c r="AI18" s="29"/>
      <c r="AJ18" s="10" t="s">
        <v>92</v>
      </c>
      <c r="AK18">
        <f>-1*AK15-1*AL15</f>
        <v>0.67241824966418018</v>
      </c>
      <c r="AM18" s="18"/>
    </row>
    <row r="19" spans="1:39" x14ac:dyDescent="0.25">
      <c r="A19">
        <v>106</v>
      </c>
      <c r="B19">
        <v>0</v>
      </c>
      <c r="C19">
        <v>0</v>
      </c>
      <c r="D19">
        <v>1</v>
      </c>
      <c r="E19">
        <v>1</v>
      </c>
      <c r="F19">
        <v>-1</v>
      </c>
      <c r="G19">
        <v>0</v>
      </c>
      <c r="H19">
        <v>1</v>
      </c>
      <c r="P19">
        <f t="shared" si="7"/>
        <v>-1.7587904298642194</v>
      </c>
      <c r="Q19">
        <f t="shared" si="1"/>
        <v>0.17225309005907632</v>
      </c>
      <c r="R19">
        <v>49</v>
      </c>
      <c r="S19">
        <v>50</v>
      </c>
      <c r="T19">
        <v>51</v>
      </c>
      <c r="U19">
        <f t="shared" ca="1" si="8"/>
        <v>7.5491384789895326</v>
      </c>
      <c r="V19">
        <f t="shared" ca="1" si="2"/>
        <v>1.7116707737529904</v>
      </c>
      <c r="W19">
        <f t="shared" ca="1" si="2"/>
        <v>1.8748885193273188</v>
      </c>
      <c r="X19">
        <f t="shared" ca="1" si="9"/>
        <v>0.67792235686604319</v>
      </c>
      <c r="Y19">
        <f t="shared" ref="Y19:Y82" ca="1" si="11">V19/SUM($U19:$W19)</f>
        <v>0.15371023969832781</v>
      </c>
      <c r="Z19">
        <f t="shared" ca="1" si="3"/>
        <v>0.16836740343562906</v>
      </c>
      <c r="AA19">
        <f t="shared" ca="1" si="10"/>
        <v>1</v>
      </c>
      <c r="AB19">
        <f t="shared" ca="1" si="10"/>
        <v>0</v>
      </c>
      <c r="AC19">
        <f t="shared" ca="1" si="10"/>
        <v>0</v>
      </c>
      <c r="AD19">
        <f t="shared" ca="1" si="5"/>
        <v>-0.38872251549610792</v>
      </c>
      <c r="AE19">
        <f t="shared" ca="1" si="5"/>
        <v>0</v>
      </c>
      <c r="AF19">
        <f t="shared" ca="1" si="5"/>
        <v>0</v>
      </c>
      <c r="AI19" s="29" t="s">
        <v>86</v>
      </c>
      <c r="AJ19" s="10">
        <v>7</v>
      </c>
      <c r="AK19">
        <f>1*AM15</f>
        <v>6.768143064253317E-3</v>
      </c>
      <c r="AL19">
        <f>MAX(AK19:AK20)-MIN(AK19:AK20)</f>
        <v>1.3536286128506634E-2</v>
      </c>
      <c r="AM19" s="17">
        <f t="shared" ref="AM19:AM23" si="12">AL19/SUM($AL$16:$AL$23)</f>
        <v>2.4989261561811082E-3</v>
      </c>
    </row>
    <row r="20" spans="1:39" x14ac:dyDescent="0.25">
      <c r="A20">
        <v>106</v>
      </c>
      <c r="B20">
        <v>0</v>
      </c>
      <c r="C20">
        <v>0</v>
      </c>
      <c r="D20">
        <v>1</v>
      </c>
      <c r="E20">
        <v>-1</v>
      </c>
      <c r="F20">
        <v>1</v>
      </c>
      <c r="G20">
        <v>-1</v>
      </c>
      <c r="H20">
        <v>-1</v>
      </c>
      <c r="P20">
        <f t="shared" si="7"/>
        <v>-2.4330931253926411</v>
      </c>
      <c r="Q20">
        <f t="shared" si="1"/>
        <v>8.7764944329027011E-2</v>
      </c>
      <c r="R20">
        <v>52</v>
      </c>
      <c r="S20">
        <v>53</v>
      </c>
      <c r="T20">
        <v>54</v>
      </c>
      <c r="U20">
        <f t="shared" ca="1" si="8"/>
        <v>1.8748885193273188</v>
      </c>
      <c r="V20">
        <f t="shared" ca="1" si="8"/>
        <v>0.17225309005907632</v>
      </c>
      <c r="W20">
        <f t="shared" ca="1" si="8"/>
        <v>8.7764944329027011E-2</v>
      </c>
      <c r="X20">
        <f t="shared" ca="1" si="9"/>
        <v>0.87820636273958297</v>
      </c>
      <c r="Y20">
        <f t="shared" ca="1" si="11"/>
        <v>8.0684135687016711E-2</v>
      </c>
      <c r="Z20">
        <f t="shared" ca="1" si="3"/>
        <v>4.1109501573400424E-2</v>
      </c>
      <c r="AA20">
        <f t="shared" ca="1" si="10"/>
        <v>1</v>
      </c>
      <c r="AB20">
        <f t="shared" ca="1" si="10"/>
        <v>0</v>
      </c>
      <c r="AC20">
        <f t="shared" ca="1" si="10"/>
        <v>0</v>
      </c>
      <c r="AD20">
        <f t="shared" ca="1" si="5"/>
        <v>-0.12987367567513783</v>
      </c>
      <c r="AE20">
        <f t="shared" ca="1" si="5"/>
        <v>0</v>
      </c>
      <c r="AF20">
        <f t="shared" ca="1" si="5"/>
        <v>0</v>
      </c>
      <c r="AI20" s="29"/>
      <c r="AJ20" s="10">
        <v>10</v>
      </c>
      <c r="AK20">
        <f>-1*AM15</f>
        <v>-6.768143064253317E-3</v>
      </c>
      <c r="AM20" s="18"/>
    </row>
    <row r="21" spans="1:39" x14ac:dyDescent="0.25">
      <c r="A21">
        <v>107</v>
      </c>
      <c r="B21">
        <v>1</v>
      </c>
      <c r="C21">
        <v>-1</v>
      </c>
      <c r="D21">
        <v>-1</v>
      </c>
      <c r="E21">
        <v>-1</v>
      </c>
      <c r="F21">
        <v>1</v>
      </c>
      <c r="G21">
        <v>0</v>
      </c>
      <c r="H21">
        <v>1</v>
      </c>
      <c r="P21">
        <f t="shared" si="7"/>
        <v>0.67392030070849041</v>
      </c>
      <c r="Q21">
        <f t="shared" si="1"/>
        <v>1.9619135553315648</v>
      </c>
      <c r="R21">
        <v>55</v>
      </c>
      <c r="S21">
        <v>56</v>
      </c>
      <c r="T21">
        <v>57</v>
      </c>
      <c r="U21">
        <f t="shared" ca="1" si="8"/>
        <v>1.9619135553315648</v>
      </c>
      <c r="V21">
        <f t="shared" ca="1" si="8"/>
        <v>5.4613905795243362E-2</v>
      </c>
      <c r="W21">
        <f t="shared" ca="1" si="8"/>
        <v>0.63910087950999117</v>
      </c>
      <c r="X21">
        <f t="shared" ca="1" si="9"/>
        <v>0.73877565068503259</v>
      </c>
      <c r="Y21">
        <f t="shared" ca="1" si="11"/>
        <v>2.0565342280594642E-2</v>
      </c>
      <c r="Z21">
        <f t="shared" ca="1" si="3"/>
        <v>0.24065900703437276</v>
      </c>
      <c r="AA21">
        <f t="shared" ca="1" si="10"/>
        <v>1</v>
      </c>
      <c r="AB21">
        <f t="shared" ca="1" si="10"/>
        <v>0</v>
      </c>
      <c r="AC21">
        <f t="shared" ca="1" si="10"/>
        <v>0</v>
      </c>
      <c r="AD21">
        <f t="shared" ca="1" si="5"/>
        <v>-0.30276098912514593</v>
      </c>
      <c r="AE21">
        <f t="shared" ca="1" si="5"/>
        <v>0</v>
      </c>
      <c r="AF21">
        <f t="shared" ca="1" si="5"/>
        <v>0</v>
      </c>
      <c r="AI21" s="29" t="s">
        <v>87</v>
      </c>
      <c r="AJ21" s="10" t="s">
        <v>93</v>
      </c>
      <c r="AK21">
        <f>1*AN15</f>
        <v>0.2371915959194798</v>
      </c>
      <c r="AL21">
        <f>MAX(AK21:AK22)-MIN(AK21:AK22)</f>
        <v>0.47438319183895961</v>
      </c>
      <c r="AM21" s="17">
        <f t="shared" si="12"/>
        <v>8.7575613789854123E-2</v>
      </c>
    </row>
    <row r="22" spans="1:39" x14ac:dyDescent="0.25">
      <c r="A22">
        <v>107</v>
      </c>
      <c r="B22">
        <v>0</v>
      </c>
      <c r="C22">
        <v>0</v>
      </c>
      <c r="D22">
        <v>1</v>
      </c>
      <c r="E22">
        <v>-1</v>
      </c>
      <c r="F22">
        <v>-1</v>
      </c>
      <c r="G22">
        <v>-1</v>
      </c>
      <c r="H22">
        <v>-1</v>
      </c>
      <c r="P22">
        <f t="shared" si="7"/>
        <v>-2.9074667437634028</v>
      </c>
      <c r="Q22">
        <f t="shared" si="1"/>
        <v>5.4613905795243362E-2</v>
      </c>
      <c r="R22">
        <v>58</v>
      </c>
      <c r="S22">
        <v>59</v>
      </c>
      <c r="T22">
        <v>60</v>
      </c>
      <c r="U22">
        <f t="shared" ca="1" si="8"/>
        <v>11.751342512917736</v>
      </c>
      <c r="V22">
        <f t="shared" ca="1" si="8"/>
        <v>1.8748885193273188</v>
      </c>
      <c r="W22">
        <f t="shared" ca="1" si="8"/>
        <v>7.5491384789895326</v>
      </c>
      <c r="X22">
        <f t="shared" ca="1" si="9"/>
        <v>0.55495336252257899</v>
      </c>
      <c r="Y22">
        <f t="shared" ca="1" si="11"/>
        <v>8.8541006017986937E-2</v>
      </c>
      <c r="Z22">
        <f t="shared" ca="1" si="3"/>
        <v>0.35650563145943398</v>
      </c>
      <c r="AA22">
        <f t="shared" ca="1" si="10"/>
        <v>1</v>
      </c>
      <c r="AB22">
        <f t="shared" ca="1" si="10"/>
        <v>0</v>
      </c>
      <c r="AC22">
        <f t="shared" ca="1" si="10"/>
        <v>0</v>
      </c>
      <c r="AD22">
        <f t="shared" ca="1" si="5"/>
        <v>-0.5888712002573947</v>
      </c>
      <c r="AE22">
        <f t="shared" ca="1" si="5"/>
        <v>0</v>
      </c>
      <c r="AF22">
        <f t="shared" ca="1" si="5"/>
        <v>0</v>
      </c>
      <c r="AI22" s="29"/>
      <c r="AJ22" s="10" t="s">
        <v>94</v>
      </c>
      <c r="AK22">
        <f>-1*AN15</f>
        <v>-0.2371915959194798</v>
      </c>
      <c r="AM22" s="18"/>
    </row>
    <row r="23" spans="1:39" x14ac:dyDescent="0.25">
      <c r="A23">
        <v>107</v>
      </c>
      <c r="B23">
        <v>0</v>
      </c>
      <c r="C23">
        <v>-1</v>
      </c>
      <c r="D23">
        <v>-1</v>
      </c>
      <c r="E23">
        <v>1</v>
      </c>
      <c r="F23">
        <v>1</v>
      </c>
      <c r="G23">
        <v>-1</v>
      </c>
      <c r="H23">
        <v>-1</v>
      </c>
      <c r="P23">
        <f t="shared" si="7"/>
        <v>-0.44769296615724818</v>
      </c>
      <c r="Q23">
        <f t="shared" si="1"/>
        <v>0.63910087950999117</v>
      </c>
      <c r="R23">
        <v>61</v>
      </c>
      <c r="S23">
        <v>62</v>
      </c>
      <c r="T23">
        <v>63</v>
      </c>
      <c r="U23">
        <f t="shared" ca="1" si="8"/>
        <v>5.4613905795243362E-2</v>
      </c>
      <c r="V23">
        <f t="shared" ca="1" si="8"/>
        <v>8.7764944329027011E-2</v>
      </c>
      <c r="W23">
        <f t="shared" ca="1" si="8"/>
        <v>0.17225309005907632</v>
      </c>
      <c r="X23">
        <f t="shared" ca="1" si="9"/>
        <v>0.17358029754836074</v>
      </c>
      <c r="Y23">
        <f t="shared" ca="1" si="11"/>
        <v>0.27894480222790918</v>
      </c>
      <c r="Z23">
        <f t="shared" ca="1" si="3"/>
        <v>0.54747490022373002</v>
      </c>
      <c r="AA23">
        <f t="shared" ca="1" si="10"/>
        <v>0</v>
      </c>
      <c r="AB23">
        <f t="shared" ca="1" si="10"/>
        <v>0</v>
      </c>
      <c r="AC23">
        <f t="shared" ca="1" si="10"/>
        <v>1</v>
      </c>
      <c r="AD23">
        <f t="shared" ca="1" si="5"/>
        <v>0</v>
      </c>
      <c r="AE23">
        <f t="shared" ca="1" si="5"/>
        <v>0</v>
      </c>
      <c r="AF23">
        <f t="shared" ca="1" si="5"/>
        <v>-0.60243866268258417</v>
      </c>
      <c r="AI23" s="29" t="s">
        <v>88</v>
      </c>
      <c r="AJ23" s="10">
        <v>400</v>
      </c>
      <c r="AK23">
        <f>1*AO15+0*AP15</f>
        <v>1.5929788644210348</v>
      </c>
      <c r="AL23">
        <f>MAX(AK23:AK25)-MIN(AK23:AK25)</f>
        <v>2.9570390898443968</v>
      </c>
      <c r="AM23" s="17">
        <f t="shared" si="12"/>
        <v>0.54589732045486583</v>
      </c>
    </row>
    <row r="24" spans="1:39" x14ac:dyDescent="0.25">
      <c r="A24">
        <v>108</v>
      </c>
      <c r="B24">
        <v>1</v>
      </c>
      <c r="C24">
        <v>1</v>
      </c>
      <c r="D24">
        <v>0</v>
      </c>
      <c r="E24">
        <v>1</v>
      </c>
      <c r="F24">
        <v>1</v>
      </c>
      <c r="G24">
        <v>1</v>
      </c>
      <c r="H24">
        <v>0</v>
      </c>
      <c r="P24">
        <f t="shared" si="7"/>
        <v>2.4639674904819313</v>
      </c>
      <c r="Q24">
        <f t="shared" si="1"/>
        <v>11.751342512917736</v>
      </c>
      <c r="R24">
        <v>64</v>
      </c>
      <c r="S24">
        <v>65</v>
      </c>
      <c r="T24">
        <v>66</v>
      </c>
      <c r="U24">
        <f t="shared" ca="1" si="8"/>
        <v>1.7116707737529904</v>
      </c>
      <c r="V24">
        <f t="shared" ca="1" si="8"/>
        <v>7.5491384789895326</v>
      </c>
      <c r="W24">
        <f t="shared" ca="1" si="8"/>
        <v>1.9619135553315648</v>
      </c>
      <c r="X24">
        <f t="shared" ca="1" si="9"/>
        <v>0.15251831512060016</v>
      </c>
      <c r="Y24">
        <f t="shared" ca="1" si="11"/>
        <v>0.67266550266735381</v>
      </c>
      <c r="Z24">
        <f t="shared" ca="1" si="3"/>
        <v>0.17481618221204606</v>
      </c>
      <c r="AA24">
        <f t="shared" ca="1" si="10"/>
        <v>0</v>
      </c>
      <c r="AB24">
        <f t="shared" ca="1" si="10"/>
        <v>1</v>
      </c>
      <c r="AC24">
        <f t="shared" ca="1" si="10"/>
        <v>0</v>
      </c>
      <c r="AD24">
        <f t="shared" ca="1" si="5"/>
        <v>0</v>
      </c>
      <c r="AE24">
        <f t="shared" ca="1" si="5"/>
        <v>-0.39650709716333266</v>
      </c>
      <c r="AF24">
        <f t="shared" ca="1" si="5"/>
        <v>0</v>
      </c>
      <c r="AI24" s="29"/>
      <c r="AJ24" s="10">
        <v>600</v>
      </c>
      <c r="AK24">
        <f>0*AO15+1*AP15</f>
        <v>-0.22891863899767279</v>
      </c>
    </row>
    <row r="25" spans="1:39" x14ac:dyDescent="0.25">
      <c r="A25">
        <v>108</v>
      </c>
      <c r="B25">
        <v>0</v>
      </c>
      <c r="C25">
        <v>1</v>
      </c>
      <c r="D25">
        <v>0</v>
      </c>
      <c r="E25">
        <v>-1</v>
      </c>
      <c r="F25">
        <v>1</v>
      </c>
      <c r="G25">
        <v>0</v>
      </c>
      <c r="H25">
        <v>1</v>
      </c>
      <c r="P25">
        <f t="shared" si="7"/>
        <v>0.62854920129601144</v>
      </c>
      <c r="Q25">
        <f t="shared" si="1"/>
        <v>1.8748885193273188</v>
      </c>
      <c r="R25">
        <v>67</v>
      </c>
      <c r="S25">
        <v>68</v>
      </c>
      <c r="T25">
        <v>69</v>
      </c>
      <c r="U25">
        <f t="shared" ca="1" si="8"/>
        <v>1.2374814257516533</v>
      </c>
      <c r="V25">
        <f t="shared" ca="1" si="8"/>
        <v>1.9619135553315648</v>
      </c>
      <c r="W25">
        <f t="shared" ca="1" si="8"/>
        <v>5.4613905795243362E-2</v>
      </c>
      <c r="X25">
        <f t="shared" ca="1" si="9"/>
        <v>0.38029442105757644</v>
      </c>
      <c r="Y25">
        <f t="shared" ca="1" si="11"/>
        <v>0.60292200283866126</v>
      </c>
      <c r="Z25">
        <f t="shared" ca="1" si="3"/>
        <v>1.6783576103762254E-2</v>
      </c>
      <c r="AA25">
        <f t="shared" ca="1" si="10"/>
        <v>0</v>
      </c>
      <c r="AB25">
        <f t="shared" ca="1" si="10"/>
        <v>1</v>
      </c>
      <c r="AC25">
        <f t="shared" ca="1" si="10"/>
        <v>0</v>
      </c>
      <c r="AD25">
        <f t="shared" ca="1" si="5"/>
        <v>0</v>
      </c>
      <c r="AE25">
        <f t="shared" ca="1" si="5"/>
        <v>-0.50596743914746023</v>
      </c>
      <c r="AF25">
        <f t="shared" ca="1" si="5"/>
        <v>0</v>
      </c>
      <c r="AI25" s="29"/>
      <c r="AJ25" s="10">
        <v>800</v>
      </c>
      <c r="AK25">
        <f>-1*AO15-1*AP15</f>
        <v>-1.364060225423362</v>
      </c>
    </row>
    <row r="26" spans="1:39" x14ac:dyDescent="0.25">
      <c r="A26">
        <v>108</v>
      </c>
      <c r="B26">
        <v>0</v>
      </c>
      <c r="C26">
        <v>-1</v>
      </c>
      <c r="D26">
        <v>-1</v>
      </c>
      <c r="E26">
        <v>-1</v>
      </c>
      <c r="F26">
        <v>-1</v>
      </c>
      <c r="G26">
        <v>1</v>
      </c>
      <c r="H26">
        <v>0</v>
      </c>
      <c r="P26">
        <f t="shared" si="7"/>
        <v>2.0214334480069271</v>
      </c>
      <c r="Q26">
        <f t="shared" si="1"/>
        <v>7.5491384789895326</v>
      </c>
      <c r="R26">
        <v>70</v>
      </c>
      <c r="S26">
        <v>71</v>
      </c>
      <c r="T26">
        <v>72</v>
      </c>
      <c r="U26">
        <f t="shared" ca="1" si="8"/>
        <v>0.63910087950999117</v>
      </c>
      <c r="V26">
        <f t="shared" ca="1" si="8"/>
        <v>11.751342512917736</v>
      </c>
      <c r="W26">
        <f t="shared" ca="1" si="8"/>
        <v>1.2374814257516533</v>
      </c>
      <c r="X26">
        <f t="shared" ca="1" si="9"/>
        <v>4.6896419523641875E-2</v>
      </c>
      <c r="Y26">
        <f t="shared" ca="1" si="11"/>
        <v>0.86229874832019027</v>
      </c>
      <c r="Z26">
        <f t="shared" ca="1" si="3"/>
        <v>9.0804832156167886E-2</v>
      </c>
      <c r="AA26">
        <f t="shared" ca="1" si="10"/>
        <v>0</v>
      </c>
      <c r="AB26">
        <f t="shared" ca="1" si="10"/>
        <v>1</v>
      </c>
      <c r="AC26">
        <f t="shared" ca="1" si="10"/>
        <v>0</v>
      </c>
      <c r="AD26">
        <f t="shared" ca="1" si="5"/>
        <v>0</v>
      </c>
      <c r="AE26">
        <f t="shared" ca="1" si="5"/>
        <v>-0.14815349258447313</v>
      </c>
      <c r="AF26">
        <f t="shared" ca="1" si="5"/>
        <v>0</v>
      </c>
    </row>
    <row r="27" spans="1:39" x14ac:dyDescent="0.25">
      <c r="A27">
        <v>109</v>
      </c>
      <c r="B27">
        <v>0</v>
      </c>
      <c r="C27">
        <v>0</v>
      </c>
      <c r="D27">
        <v>1</v>
      </c>
      <c r="E27">
        <v>-1</v>
      </c>
      <c r="F27">
        <v>-1</v>
      </c>
      <c r="G27">
        <v>-1</v>
      </c>
      <c r="H27">
        <v>-1</v>
      </c>
      <c r="P27">
        <f t="shared" si="7"/>
        <v>-2.9074667437634028</v>
      </c>
      <c r="Q27">
        <f t="shared" si="1"/>
        <v>5.4613905795243362E-2</v>
      </c>
      <c r="R27">
        <v>73</v>
      </c>
      <c r="S27">
        <v>74</v>
      </c>
      <c r="T27">
        <v>75</v>
      </c>
      <c r="U27">
        <f t="shared" ca="1" si="8"/>
        <v>8.7764944329027011E-2</v>
      </c>
      <c r="V27">
        <f t="shared" ca="1" si="8"/>
        <v>0.38005561415131528</v>
      </c>
      <c r="W27">
        <f t="shared" ca="1" si="8"/>
        <v>1.7116707737529904</v>
      </c>
      <c r="X27">
        <f t="shared" ca="1" si="9"/>
        <v>4.0268544788886106E-2</v>
      </c>
      <c r="Y27">
        <f t="shared" ca="1" si="11"/>
        <v>0.17437812600147892</v>
      </c>
      <c r="Z27">
        <f t="shared" ca="1" si="3"/>
        <v>0.78535332920963485</v>
      </c>
      <c r="AA27">
        <f t="shared" ca="1" si="10"/>
        <v>0</v>
      </c>
      <c r="AB27">
        <f t="shared" ca="1" si="10"/>
        <v>0</v>
      </c>
      <c r="AC27">
        <f t="shared" ca="1" si="10"/>
        <v>1</v>
      </c>
      <c r="AD27">
        <f t="shared" ca="1" si="5"/>
        <v>0</v>
      </c>
      <c r="AE27">
        <f t="shared" ca="1" si="5"/>
        <v>0</v>
      </c>
      <c r="AF27">
        <f t="shared" ca="1" si="5"/>
        <v>-0.24162156156076189</v>
      </c>
      <c r="AJ27" t="s">
        <v>105</v>
      </c>
      <c r="AK27" t="s">
        <v>106</v>
      </c>
      <c r="AL27" t="s">
        <v>107</v>
      </c>
      <c r="AM27" t="s">
        <v>108</v>
      </c>
    </row>
    <row r="28" spans="1:39" x14ac:dyDescent="0.25">
      <c r="A28">
        <v>109</v>
      </c>
      <c r="B28">
        <v>0</v>
      </c>
      <c r="C28">
        <v>0</v>
      </c>
      <c r="D28">
        <v>1</v>
      </c>
      <c r="E28">
        <v>-1</v>
      </c>
      <c r="F28">
        <v>1</v>
      </c>
      <c r="G28">
        <v>-1</v>
      </c>
      <c r="H28">
        <v>-1</v>
      </c>
      <c r="P28">
        <f t="shared" si="7"/>
        <v>-2.4330931253926411</v>
      </c>
      <c r="Q28">
        <f t="shared" si="1"/>
        <v>8.7764944329027011E-2</v>
      </c>
      <c r="R28">
        <v>76</v>
      </c>
      <c r="S28">
        <v>77</v>
      </c>
      <c r="T28">
        <v>78</v>
      </c>
      <c r="U28">
        <f t="shared" ca="1" si="8"/>
        <v>0.17225309005907632</v>
      </c>
      <c r="V28">
        <f t="shared" ca="1" si="8"/>
        <v>7.2142796641606211</v>
      </c>
      <c r="W28">
        <f t="shared" ca="1" si="8"/>
        <v>11.751342512917736</v>
      </c>
      <c r="X28">
        <f t="shared" ca="1" si="9"/>
        <v>9.000638140580863E-3</v>
      </c>
      <c r="Y28">
        <f t="shared" ca="1" si="11"/>
        <v>0.37696345928999803</v>
      </c>
      <c r="Z28">
        <f t="shared" ca="1" si="3"/>
        <v>0.6140359025694212</v>
      </c>
      <c r="AA28">
        <f t="shared" ca="1" si="10"/>
        <v>0</v>
      </c>
      <c r="AB28">
        <f t="shared" ca="1" si="10"/>
        <v>0</v>
      </c>
      <c r="AC28">
        <f t="shared" ca="1" si="10"/>
        <v>1</v>
      </c>
      <c r="AD28">
        <f t="shared" ca="1" si="5"/>
        <v>0</v>
      </c>
      <c r="AE28">
        <f t="shared" ca="1" si="5"/>
        <v>0</v>
      </c>
      <c r="AF28">
        <f t="shared" ca="1" si="5"/>
        <v>-0.48770187930438819</v>
      </c>
    </row>
    <row r="29" spans="1:39" x14ac:dyDescent="0.25">
      <c r="A29">
        <v>109</v>
      </c>
      <c r="B29">
        <v>1</v>
      </c>
      <c r="C29">
        <v>0</v>
      </c>
      <c r="D29">
        <v>1</v>
      </c>
      <c r="E29">
        <v>1</v>
      </c>
      <c r="F29">
        <v>-1</v>
      </c>
      <c r="G29">
        <v>0</v>
      </c>
      <c r="H29">
        <v>1</v>
      </c>
      <c r="P29">
        <f t="shared" si="7"/>
        <v>-1.7587904298642194</v>
      </c>
      <c r="Q29">
        <f t="shared" si="1"/>
        <v>0.17225309005907632</v>
      </c>
      <c r="R29">
        <v>79</v>
      </c>
      <c r="S29">
        <v>80</v>
      </c>
      <c r="T29">
        <v>81</v>
      </c>
      <c r="U29">
        <f t="shared" ca="1" si="8"/>
        <v>7.2142796641606211</v>
      </c>
      <c r="V29">
        <f t="shared" ca="1" si="8"/>
        <v>1.2374814257516533</v>
      </c>
      <c r="W29">
        <f t="shared" ca="1" si="8"/>
        <v>0.38005561415131528</v>
      </c>
      <c r="X29">
        <f t="shared" ca="1" si="9"/>
        <v>0.81685115372030681</v>
      </c>
      <c r="Y29">
        <f t="shared" ca="1" si="11"/>
        <v>0.14011629398765468</v>
      </c>
      <c r="Z29">
        <f t="shared" ca="1" si="3"/>
        <v>4.3032552292038471E-2</v>
      </c>
      <c r="AA29">
        <f t="shared" ca="1" si="10"/>
        <v>1</v>
      </c>
      <c r="AB29">
        <f t="shared" ca="1" si="10"/>
        <v>0</v>
      </c>
      <c r="AC29">
        <f t="shared" ca="1" si="10"/>
        <v>0</v>
      </c>
      <c r="AD29">
        <f t="shared" ca="1" si="5"/>
        <v>-0.20229838710894363</v>
      </c>
      <c r="AE29">
        <f t="shared" ca="1" si="5"/>
        <v>0</v>
      </c>
      <c r="AF29">
        <f t="shared" ca="1" si="5"/>
        <v>0</v>
      </c>
    </row>
    <row r="30" spans="1:39" x14ac:dyDescent="0.25">
      <c r="A30">
        <v>110</v>
      </c>
      <c r="B30">
        <v>0</v>
      </c>
      <c r="C30">
        <v>0</v>
      </c>
      <c r="D30">
        <v>1</v>
      </c>
      <c r="E30">
        <v>1</v>
      </c>
      <c r="F30">
        <v>1</v>
      </c>
      <c r="G30">
        <v>1</v>
      </c>
      <c r="H30">
        <v>0</v>
      </c>
      <c r="P30">
        <f t="shared" si="7"/>
        <v>0.53746995417573973</v>
      </c>
      <c r="Q30">
        <f t="shared" si="1"/>
        <v>1.7116707737529904</v>
      </c>
      <c r="R30">
        <v>82</v>
      </c>
      <c r="S30">
        <v>83</v>
      </c>
      <c r="T30">
        <v>84</v>
      </c>
      <c r="U30">
        <f t="shared" ca="1" si="8"/>
        <v>0.38005561415131528</v>
      </c>
      <c r="V30">
        <f t="shared" ca="1" si="8"/>
        <v>0.63910087950999117</v>
      </c>
      <c r="W30">
        <f t="shared" ca="1" si="8"/>
        <v>7.2142796641606211</v>
      </c>
      <c r="X30">
        <f t="shared" ca="1" si="9"/>
        <v>4.6160024425555897E-2</v>
      </c>
      <c r="Y30">
        <f t="shared" ca="1" si="11"/>
        <v>7.7622619190753389E-2</v>
      </c>
      <c r="Z30">
        <f t="shared" ca="1" si="3"/>
        <v>0.87621735638369069</v>
      </c>
      <c r="AA30">
        <f t="shared" ca="1" si="10"/>
        <v>0</v>
      </c>
      <c r="AB30">
        <f t="shared" ca="1" si="10"/>
        <v>0</v>
      </c>
      <c r="AC30">
        <f t="shared" ca="1" si="10"/>
        <v>1</v>
      </c>
      <c r="AD30">
        <f t="shared" ca="1" si="5"/>
        <v>0</v>
      </c>
      <c r="AE30">
        <f t="shared" ca="1" si="5"/>
        <v>0</v>
      </c>
      <c r="AF30">
        <f t="shared" ca="1" si="5"/>
        <v>-0.13214109509767194</v>
      </c>
    </row>
    <row r="31" spans="1:39" x14ac:dyDescent="0.25">
      <c r="A31">
        <v>110</v>
      </c>
      <c r="B31">
        <v>1</v>
      </c>
      <c r="C31">
        <v>-1</v>
      </c>
      <c r="D31">
        <v>-1</v>
      </c>
      <c r="E31">
        <v>-1</v>
      </c>
      <c r="F31">
        <v>-1</v>
      </c>
      <c r="G31">
        <v>1</v>
      </c>
      <c r="H31">
        <v>0</v>
      </c>
      <c r="P31">
        <f t="shared" si="7"/>
        <v>2.0214334480069271</v>
      </c>
      <c r="Q31">
        <f t="shared" si="1"/>
        <v>7.5491384789895326</v>
      </c>
      <c r="R31">
        <v>85</v>
      </c>
      <c r="S31">
        <v>86</v>
      </c>
      <c r="T31">
        <v>87</v>
      </c>
      <c r="U31">
        <f t="shared" ca="1" si="8"/>
        <v>7.5491384789895326</v>
      </c>
      <c r="V31">
        <f t="shared" ca="1" si="8"/>
        <v>1.7116707737529904</v>
      </c>
      <c r="W31">
        <f t="shared" ca="1" si="8"/>
        <v>1.8748885193273188</v>
      </c>
      <c r="X31">
        <f t="shared" ca="1" si="9"/>
        <v>0.67792235686604319</v>
      </c>
      <c r="Y31">
        <f t="shared" ca="1" si="11"/>
        <v>0.15371023969832781</v>
      </c>
      <c r="Z31">
        <f t="shared" ca="1" si="3"/>
        <v>0.16836740343562906</v>
      </c>
      <c r="AA31">
        <f t="shared" ca="1" si="10"/>
        <v>1</v>
      </c>
      <c r="AB31">
        <f t="shared" ca="1" si="10"/>
        <v>0</v>
      </c>
      <c r="AC31">
        <f t="shared" ca="1" si="10"/>
        <v>0</v>
      </c>
      <c r="AD31">
        <f t="shared" ca="1" si="5"/>
        <v>-0.38872251549610792</v>
      </c>
      <c r="AE31">
        <f t="shared" ca="1" si="5"/>
        <v>0</v>
      </c>
      <c r="AF31">
        <f t="shared" ca="1" si="5"/>
        <v>0</v>
      </c>
    </row>
    <row r="32" spans="1:39" x14ac:dyDescent="0.25">
      <c r="A32">
        <v>110</v>
      </c>
      <c r="B32">
        <v>0</v>
      </c>
      <c r="C32">
        <v>-1</v>
      </c>
      <c r="D32">
        <v>-1</v>
      </c>
      <c r="E32">
        <v>-1</v>
      </c>
      <c r="F32">
        <v>1</v>
      </c>
      <c r="G32">
        <v>0</v>
      </c>
      <c r="H32">
        <v>1</v>
      </c>
      <c r="P32">
        <f t="shared" si="7"/>
        <v>0.67392030070849041</v>
      </c>
      <c r="Q32">
        <f t="shared" si="1"/>
        <v>1.9619135553315648</v>
      </c>
      <c r="R32">
        <v>88</v>
      </c>
      <c r="S32">
        <v>89</v>
      </c>
      <c r="T32">
        <v>90</v>
      </c>
      <c r="U32">
        <f t="shared" ca="1" si="8"/>
        <v>1.8748885193273188</v>
      </c>
      <c r="V32">
        <f t="shared" ca="1" si="8"/>
        <v>0.17225309005907632</v>
      </c>
      <c r="W32">
        <f t="shared" ca="1" si="8"/>
        <v>8.7764944329027011E-2</v>
      </c>
      <c r="X32">
        <f t="shared" ca="1" si="9"/>
        <v>0.87820636273958297</v>
      </c>
      <c r="Y32">
        <f t="shared" ca="1" si="11"/>
        <v>8.0684135687016711E-2</v>
      </c>
      <c r="Z32">
        <f t="shared" ca="1" si="3"/>
        <v>4.1109501573400424E-2</v>
      </c>
      <c r="AA32">
        <f t="shared" ca="1" si="10"/>
        <v>1</v>
      </c>
      <c r="AB32">
        <f t="shared" ca="1" si="10"/>
        <v>0</v>
      </c>
      <c r="AC32">
        <f t="shared" ca="1" si="10"/>
        <v>0</v>
      </c>
      <c r="AD32">
        <f t="shared" ca="1" si="5"/>
        <v>-0.12987367567513783</v>
      </c>
      <c r="AE32">
        <f t="shared" ca="1" si="5"/>
        <v>0</v>
      </c>
      <c r="AF32">
        <f t="shared" ca="1" si="5"/>
        <v>0</v>
      </c>
    </row>
    <row r="33" spans="1:32" x14ac:dyDescent="0.25">
      <c r="A33">
        <v>111</v>
      </c>
      <c r="B33">
        <v>0</v>
      </c>
      <c r="C33">
        <v>-1</v>
      </c>
      <c r="D33">
        <v>-1</v>
      </c>
      <c r="E33">
        <v>1</v>
      </c>
      <c r="F33">
        <v>-1</v>
      </c>
      <c r="G33">
        <v>0</v>
      </c>
      <c r="H33">
        <v>1</v>
      </c>
      <c r="P33">
        <f t="shared" si="7"/>
        <v>0.21307820585445134</v>
      </c>
      <c r="Q33">
        <f t="shared" si="1"/>
        <v>1.2374814257516533</v>
      </c>
      <c r="R33">
        <v>91</v>
      </c>
      <c r="S33">
        <v>92</v>
      </c>
      <c r="T33">
        <v>93</v>
      </c>
      <c r="U33">
        <f t="shared" ca="1" si="8"/>
        <v>1.9619135553315648</v>
      </c>
      <c r="V33">
        <f t="shared" ca="1" si="8"/>
        <v>5.4613905795243362E-2</v>
      </c>
      <c r="W33">
        <f t="shared" ca="1" si="8"/>
        <v>0.63910087950999117</v>
      </c>
      <c r="X33">
        <f t="shared" ca="1" si="9"/>
        <v>0.73877565068503259</v>
      </c>
      <c r="Y33">
        <f t="shared" ca="1" si="11"/>
        <v>2.0565342280594642E-2</v>
      </c>
      <c r="Z33">
        <f t="shared" ca="1" si="3"/>
        <v>0.24065900703437276</v>
      </c>
      <c r="AA33">
        <f t="shared" ca="1" si="10"/>
        <v>1</v>
      </c>
      <c r="AB33">
        <f t="shared" ca="1" si="10"/>
        <v>0</v>
      </c>
      <c r="AC33">
        <f t="shared" ca="1" si="10"/>
        <v>0</v>
      </c>
      <c r="AD33">
        <f t="shared" ca="1" si="5"/>
        <v>-0.30276098912514593</v>
      </c>
      <c r="AE33">
        <f t="shared" ca="1" si="5"/>
        <v>0</v>
      </c>
      <c r="AF33">
        <f t="shared" ca="1" si="5"/>
        <v>0</v>
      </c>
    </row>
    <row r="34" spans="1:32" x14ac:dyDescent="0.25">
      <c r="A34">
        <v>111</v>
      </c>
      <c r="B34">
        <v>1</v>
      </c>
      <c r="C34">
        <v>-1</v>
      </c>
      <c r="D34">
        <v>-1</v>
      </c>
      <c r="E34">
        <v>-1</v>
      </c>
      <c r="F34">
        <v>1</v>
      </c>
      <c r="G34">
        <v>0</v>
      </c>
      <c r="H34">
        <v>1</v>
      </c>
      <c r="P34">
        <f t="shared" si="7"/>
        <v>0.67392030070849041</v>
      </c>
      <c r="Q34">
        <f t="shared" si="1"/>
        <v>1.9619135553315648</v>
      </c>
      <c r="R34">
        <v>94</v>
      </c>
      <c r="S34">
        <v>95</v>
      </c>
      <c r="T34">
        <v>96</v>
      </c>
      <c r="U34">
        <f t="shared" ca="1" si="8"/>
        <v>11.751342512917736</v>
      </c>
      <c r="V34">
        <f t="shared" ca="1" si="8"/>
        <v>1.8748885193273188</v>
      </c>
      <c r="W34">
        <f t="shared" ca="1" si="8"/>
        <v>7.5491384789895326</v>
      </c>
      <c r="X34">
        <f t="shared" ca="1" si="9"/>
        <v>0.55495336252257899</v>
      </c>
      <c r="Y34">
        <f t="shared" ca="1" si="11"/>
        <v>8.8541006017986937E-2</v>
      </c>
      <c r="Z34">
        <f t="shared" ca="1" si="3"/>
        <v>0.35650563145943398</v>
      </c>
      <c r="AA34">
        <f t="shared" ca="1" si="10"/>
        <v>1</v>
      </c>
      <c r="AB34">
        <f t="shared" ca="1" si="10"/>
        <v>0</v>
      </c>
      <c r="AC34">
        <f t="shared" ca="1" si="10"/>
        <v>0</v>
      </c>
      <c r="AD34">
        <f t="shared" ca="1" si="5"/>
        <v>-0.5888712002573947</v>
      </c>
      <c r="AE34">
        <f t="shared" ca="1" si="5"/>
        <v>0</v>
      </c>
      <c r="AF34">
        <f t="shared" ca="1" si="5"/>
        <v>0</v>
      </c>
    </row>
    <row r="35" spans="1:32" x14ac:dyDescent="0.25">
      <c r="A35">
        <v>111</v>
      </c>
      <c r="B35">
        <v>0</v>
      </c>
      <c r="C35">
        <v>0</v>
      </c>
      <c r="D35">
        <v>1</v>
      </c>
      <c r="E35">
        <v>-1</v>
      </c>
      <c r="F35">
        <v>-1</v>
      </c>
      <c r="G35">
        <v>-1</v>
      </c>
      <c r="H35">
        <v>-1</v>
      </c>
      <c r="P35">
        <f t="shared" si="7"/>
        <v>-2.9074667437634028</v>
      </c>
      <c r="Q35">
        <f t="shared" si="1"/>
        <v>5.4613905795243362E-2</v>
      </c>
      <c r="R35">
        <v>97</v>
      </c>
      <c r="S35">
        <v>98</v>
      </c>
      <c r="T35">
        <v>99</v>
      </c>
      <c r="U35">
        <f t="shared" ca="1" si="8"/>
        <v>5.4613905795243362E-2</v>
      </c>
      <c r="V35">
        <f t="shared" ca="1" si="8"/>
        <v>8.7764944329027011E-2</v>
      </c>
      <c r="W35">
        <f t="shared" ca="1" si="8"/>
        <v>0.17225309005907632</v>
      </c>
      <c r="X35">
        <f t="shared" ca="1" si="9"/>
        <v>0.17358029754836074</v>
      </c>
      <c r="Y35">
        <f t="shared" ca="1" si="11"/>
        <v>0.27894480222790918</v>
      </c>
      <c r="Z35">
        <f t="shared" ca="1" si="3"/>
        <v>0.54747490022373002</v>
      </c>
      <c r="AA35">
        <f t="shared" ca="1" si="10"/>
        <v>0</v>
      </c>
      <c r="AB35">
        <f t="shared" ca="1" si="10"/>
        <v>0</v>
      </c>
      <c r="AC35">
        <f t="shared" ca="1" si="10"/>
        <v>1</v>
      </c>
      <c r="AD35">
        <f t="shared" ca="1" si="5"/>
        <v>0</v>
      </c>
      <c r="AE35">
        <f t="shared" ca="1" si="5"/>
        <v>0</v>
      </c>
      <c r="AF35">
        <f t="shared" ca="1" si="5"/>
        <v>-0.60243866268258417</v>
      </c>
    </row>
    <row r="36" spans="1:32" x14ac:dyDescent="0.25">
      <c r="A36">
        <v>112</v>
      </c>
      <c r="B36">
        <v>0</v>
      </c>
      <c r="C36">
        <v>-1</v>
      </c>
      <c r="D36">
        <v>-1</v>
      </c>
      <c r="E36">
        <v>1</v>
      </c>
      <c r="F36">
        <v>1</v>
      </c>
      <c r="G36">
        <v>-1</v>
      </c>
      <c r="H36">
        <v>-1</v>
      </c>
      <c r="P36">
        <f t="shared" si="7"/>
        <v>-0.44769296615724818</v>
      </c>
      <c r="Q36">
        <f t="shared" si="1"/>
        <v>0.63910087950999117</v>
      </c>
      <c r="R36">
        <v>100</v>
      </c>
      <c r="S36">
        <v>101</v>
      </c>
      <c r="T36">
        <v>102</v>
      </c>
      <c r="U36">
        <f t="shared" ca="1" si="8"/>
        <v>1.7116707737529904</v>
      </c>
      <c r="V36">
        <f t="shared" ca="1" si="8"/>
        <v>7.5491384789895326</v>
      </c>
      <c r="W36">
        <f t="shared" ca="1" si="8"/>
        <v>1.9619135553315648</v>
      </c>
      <c r="X36">
        <f t="shared" ca="1" si="9"/>
        <v>0.15251831512060016</v>
      </c>
      <c r="Y36">
        <f t="shared" ca="1" si="11"/>
        <v>0.67266550266735381</v>
      </c>
      <c r="Z36">
        <f t="shared" ca="1" si="3"/>
        <v>0.17481618221204606</v>
      </c>
      <c r="AA36">
        <f t="shared" ca="1" si="10"/>
        <v>0</v>
      </c>
      <c r="AB36">
        <f t="shared" ca="1" si="10"/>
        <v>1</v>
      </c>
      <c r="AC36">
        <f t="shared" ca="1" si="10"/>
        <v>0</v>
      </c>
      <c r="AD36">
        <f t="shared" ca="1" si="5"/>
        <v>0</v>
      </c>
      <c r="AE36">
        <f t="shared" ca="1" si="5"/>
        <v>-0.39650709716333266</v>
      </c>
      <c r="AF36">
        <f t="shared" ca="1" si="5"/>
        <v>0</v>
      </c>
    </row>
    <row r="37" spans="1:32" x14ac:dyDescent="0.25">
      <c r="A37">
        <v>112</v>
      </c>
      <c r="B37">
        <v>1</v>
      </c>
      <c r="C37">
        <v>1</v>
      </c>
      <c r="D37">
        <v>0</v>
      </c>
      <c r="E37">
        <v>1</v>
      </c>
      <c r="F37">
        <v>1</v>
      </c>
      <c r="G37">
        <v>1</v>
      </c>
      <c r="H37">
        <v>0</v>
      </c>
      <c r="P37">
        <f t="shared" si="7"/>
        <v>2.4639674904819313</v>
      </c>
      <c r="Q37">
        <f t="shared" si="1"/>
        <v>11.751342512917736</v>
      </c>
      <c r="R37">
        <v>103</v>
      </c>
      <c r="S37">
        <v>104</v>
      </c>
      <c r="T37">
        <v>105</v>
      </c>
      <c r="U37">
        <f t="shared" ca="1" si="8"/>
        <v>1.2374814257516533</v>
      </c>
      <c r="V37">
        <f t="shared" ca="1" si="8"/>
        <v>1.9619135553315648</v>
      </c>
      <c r="W37">
        <f t="shared" ca="1" si="8"/>
        <v>5.4613905795243362E-2</v>
      </c>
      <c r="X37">
        <f t="shared" ca="1" si="9"/>
        <v>0.38029442105757644</v>
      </c>
      <c r="Y37">
        <f t="shared" ca="1" si="11"/>
        <v>0.60292200283866126</v>
      </c>
      <c r="Z37">
        <f t="shared" ca="1" si="3"/>
        <v>1.6783576103762254E-2</v>
      </c>
      <c r="AA37">
        <f t="shared" ca="1" si="10"/>
        <v>0</v>
      </c>
      <c r="AB37">
        <f t="shared" ca="1" si="10"/>
        <v>1</v>
      </c>
      <c r="AC37">
        <f t="shared" ca="1" si="10"/>
        <v>0</v>
      </c>
      <c r="AD37">
        <f t="shared" ca="1" si="5"/>
        <v>0</v>
      </c>
      <c r="AE37">
        <f t="shared" ca="1" si="5"/>
        <v>-0.50596743914746023</v>
      </c>
      <c r="AF37">
        <f t="shared" ca="1" si="5"/>
        <v>0</v>
      </c>
    </row>
    <row r="38" spans="1:32" ht="15" customHeight="1" x14ac:dyDescent="0.25">
      <c r="A38">
        <v>112</v>
      </c>
      <c r="B38">
        <v>0</v>
      </c>
      <c r="C38">
        <v>-1</v>
      </c>
      <c r="D38">
        <v>-1</v>
      </c>
      <c r="E38">
        <v>1</v>
      </c>
      <c r="F38">
        <v>-1</v>
      </c>
      <c r="G38">
        <v>0</v>
      </c>
      <c r="H38">
        <v>1</v>
      </c>
      <c r="P38">
        <f t="shared" si="7"/>
        <v>0.21307820585445134</v>
      </c>
      <c r="Q38">
        <f t="shared" si="1"/>
        <v>1.2374814257516533</v>
      </c>
      <c r="R38">
        <v>106</v>
      </c>
      <c r="S38">
        <v>107</v>
      </c>
      <c r="T38">
        <v>108</v>
      </c>
      <c r="U38">
        <f t="shared" ca="1" si="8"/>
        <v>0.63910087950999117</v>
      </c>
      <c r="V38">
        <f t="shared" ca="1" si="8"/>
        <v>11.751342512917736</v>
      </c>
      <c r="W38">
        <f t="shared" ca="1" si="8"/>
        <v>1.2374814257516533</v>
      </c>
      <c r="X38">
        <f t="shared" ca="1" si="9"/>
        <v>4.6896419523641875E-2</v>
      </c>
      <c r="Y38">
        <f t="shared" ca="1" si="11"/>
        <v>0.86229874832019027</v>
      </c>
      <c r="Z38">
        <f t="shared" ca="1" si="3"/>
        <v>9.0804832156167886E-2</v>
      </c>
      <c r="AA38">
        <f t="shared" ca="1" si="10"/>
        <v>0</v>
      </c>
      <c r="AB38">
        <f t="shared" ca="1" si="10"/>
        <v>1</v>
      </c>
      <c r="AC38">
        <f t="shared" ca="1" si="10"/>
        <v>0</v>
      </c>
      <c r="AD38">
        <f t="shared" ca="1" si="5"/>
        <v>0</v>
      </c>
      <c r="AE38">
        <f t="shared" ca="1" si="5"/>
        <v>-0.14815349258447313</v>
      </c>
      <c r="AF38">
        <f t="shared" ca="1" si="5"/>
        <v>0</v>
      </c>
    </row>
    <row r="39" spans="1:32" x14ac:dyDescent="0.25">
      <c r="A39">
        <v>201</v>
      </c>
      <c r="B39">
        <v>0</v>
      </c>
      <c r="C39">
        <v>0</v>
      </c>
      <c r="D39">
        <v>1</v>
      </c>
      <c r="E39">
        <v>-1</v>
      </c>
      <c r="F39">
        <v>1</v>
      </c>
      <c r="G39">
        <v>-1</v>
      </c>
      <c r="H39">
        <v>-1</v>
      </c>
      <c r="J39" s="14"/>
      <c r="K39" s="14"/>
      <c r="L39" s="14"/>
      <c r="M39" s="14"/>
      <c r="N39" s="14"/>
      <c r="O39" s="14"/>
      <c r="P39">
        <f t="shared" si="7"/>
        <v>-2.4330931253926411</v>
      </c>
      <c r="Q39">
        <f t="shared" si="1"/>
        <v>8.7764944329027011E-2</v>
      </c>
      <c r="R39">
        <v>109</v>
      </c>
      <c r="S39">
        <v>110</v>
      </c>
      <c r="T39">
        <v>111</v>
      </c>
      <c r="U39">
        <f t="shared" ca="1" si="8"/>
        <v>8.7764944329027011E-2</v>
      </c>
      <c r="V39">
        <f t="shared" ca="1" si="8"/>
        <v>0.38005561415131528</v>
      </c>
      <c r="W39">
        <f t="shared" ca="1" si="8"/>
        <v>1.7116707737529904</v>
      </c>
      <c r="X39">
        <f t="shared" ca="1" si="9"/>
        <v>4.0268544788886106E-2</v>
      </c>
      <c r="Y39">
        <f t="shared" ca="1" si="11"/>
        <v>0.17437812600147892</v>
      </c>
      <c r="Z39">
        <f t="shared" ca="1" si="3"/>
        <v>0.78535332920963485</v>
      </c>
      <c r="AA39">
        <f t="shared" ca="1" si="10"/>
        <v>0</v>
      </c>
      <c r="AB39">
        <f t="shared" ca="1" si="10"/>
        <v>0</v>
      </c>
      <c r="AC39">
        <f t="shared" ca="1" si="10"/>
        <v>1</v>
      </c>
      <c r="AD39">
        <f t="shared" ca="1" si="5"/>
        <v>0</v>
      </c>
      <c r="AE39">
        <f t="shared" ca="1" si="5"/>
        <v>0</v>
      </c>
      <c r="AF39">
        <f t="shared" ca="1" si="5"/>
        <v>-0.24162156156076189</v>
      </c>
    </row>
    <row r="40" spans="1:32" x14ac:dyDescent="0.25">
      <c r="A40">
        <v>201</v>
      </c>
      <c r="B40">
        <v>0</v>
      </c>
      <c r="C40">
        <v>1</v>
      </c>
      <c r="D40">
        <v>0</v>
      </c>
      <c r="E40">
        <v>1</v>
      </c>
      <c r="F40">
        <v>-1</v>
      </c>
      <c r="G40">
        <v>-1</v>
      </c>
      <c r="H40">
        <v>-1</v>
      </c>
      <c r="J40" s="14"/>
      <c r="K40" s="14"/>
      <c r="L40" s="14"/>
      <c r="M40" s="14"/>
      <c r="N40" s="14"/>
      <c r="O40" s="14"/>
      <c r="P40">
        <f t="shared" si="7"/>
        <v>-0.96743768394048846</v>
      </c>
      <c r="Q40">
        <f t="shared" si="1"/>
        <v>0.38005561415131528</v>
      </c>
      <c r="R40">
        <v>112</v>
      </c>
      <c r="S40">
        <v>113</v>
      </c>
      <c r="T40">
        <v>114</v>
      </c>
      <c r="U40">
        <f t="shared" ca="1" si="8"/>
        <v>0.17225309005907632</v>
      </c>
      <c r="V40">
        <f t="shared" ca="1" si="8"/>
        <v>7.2142796641606211</v>
      </c>
      <c r="W40">
        <f t="shared" ca="1" si="8"/>
        <v>11.751342512917736</v>
      </c>
      <c r="X40">
        <f t="shared" ca="1" si="9"/>
        <v>9.000638140580863E-3</v>
      </c>
      <c r="Y40">
        <f t="shared" ca="1" si="11"/>
        <v>0.37696345928999803</v>
      </c>
      <c r="Z40">
        <f t="shared" ca="1" si="3"/>
        <v>0.6140359025694212</v>
      </c>
      <c r="AA40">
        <f t="shared" ca="1" si="10"/>
        <v>0</v>
      </c>
      <c r="AB40">
        <f t="shared" ca="1" si="10"/>
        <v>0</v>
      </c>
      <c r="AC40">
        <f t="shared" ca="1" si="10"/>
        <v>1</v>
      </c>
      <c r="AD40">
        <f t="shared" ca="1" si="5"/>
        <v>0</v>
      </c>
      <c r="AE40">
        <f t="shared" ca="1" si="5"/>
        <v>0</v>
      </c>
      <c r="AF40">
        <f t="shared" ca="1" si="5"/>
        <v>-0.48770187930438819</v>
      </c>
    </row>
    <row r="41" spans="1:32" x14ac:dyDescent="0.25">
      <c r="A41">
        <v>201</v>
      </c>
      <c r="B41">
        <v>1</v>
      </c>
      <c r="C41">
        <v>0</v>
      </c>
      <c r="D41">
        <v>1</v>
      </c>
      <c r="E41">
        <v>1</v>
      </c>
      <c r="F41">
        <v>1</v>
      </c>
      <c r="G41">
        <v>1</v>
      </c>
      <c r="H41">
        <v>0</v>
      </c>
      <c r="J41" s="14"/>
      <c r="K41" s="14"/>
      <c r="L41" s="14"/>
      <c r="M41" s="14"/>
      <c r="N41" s="14"/>
      <c r="O41" s="14"/>
      <c r="P41">
        <f t="shared" si="7"/>
        <v>0.53746995417573973</v>
      </c>
      <c r="Q41">
        <f t="shared" si="1"/>
        <v>1.7116707737529904</v>
      </c>
      <c r="R41">
        <v>115</v>
      </c>
      <c r="S41">
        <v>116</v>
      </c>
      <c r="T41">
        <v>117</v>
      </c>
      <c r="U41">
        <f t="shared" ca="1" si="8"/>
        <v>7.2142796641606211</v>
      </c>
      <c r="V41">
        <f t="shared" ca="1" si="8"/>
        <v>1.2374814257516533</v>
      </c>
      <c r="W41">
        <f t="shared" ca="1" si="8"/>
        <v>0.38005561415131528</v>
      </c>
      <c r="X41">
        <f t="shared" ca="1" si="9"/>
        <v>0.81685115372030681</v>
      </c>
      <c r="Y41">
        <f t="shared" ca="1" si="11"/>
        <v>0.14011629398765468</v>
      </c>
      <c r="Z41">
        <f t="shared" ca="1" si="3"/>
        <v>4.3032552292038471E-2</v>
      </c>
      <c r="AA41">
        <f t="shared" ca="1" si="10"/>
        <v>1</v>
      </c>
      <c r="AB41">
        <f t="shared" ca="1" si="10"/>
        <v>0</v>
      </c>
      <c r="AC41">
        <f t="shared" ca="1" si="10"/>
        <v>0</v>
      </c>
      <c r="AD41">
        <f t="shared" ca="1" si="5"/>
        <v>-0.20229838710894363</v>
      </c>
      <c r="AE41">
        <f t="shared" ca="1" si="5"/>
        <v>0</v>
      </c>
      <c r="AF41">
        <f t="shared" ca="1" si="5"/>
        <v>0</v>
      </c>
    </row>
    <row r="42" spans="1:32" x14ac:dyDescent="0.25">
      <c r="A42">
        <v>202</v>
      </c>
      <c r="B42">
        <v>0</v>
      </c>
      <c r="C42">
        <v>0</v>
      </c>
      <c r="D42">
        <v>1</v>
      </c>
      <c r="E42">
        <v>1</v>
      </c>
      <c r="F42">
        <v>-1</v>
      </c>
      <c r="G42">
        <v>0</v>
      </c>
      <c r="H42">
        <v>1</v>
      </c>
      <c r="P42">
        <f t="shared" si="7"/>
        <v>-1.7587904298642194</v>
      </c>
      <c r="Q42">
        <f t="shared" si="1"/>
        <v>0.17225309005907632</v>
      </c>
      <c r="R42">
        <v>118</v>
      </c>
      <c r="S42">
        <v>119</v>
      </c>
      <c r="T42">
        <v>120</v>
      </c>
      <c r="U42">
        <f t="shared" ca="1" si="8"/>
        <v>0.38005561415131528</v>
      </c>
      <c r="V42">
        <f t="shared" ca="1" si="8"/>
        <v>0.63910087950999117</v>
      </c>
      <c r="W42">
        <f t="shared" ca="1" si="8"/>
        <v>7.2142796641606211</v>
      </c>
      <c r="X42">
        <f t="shared" ca="1" si="9"/>
        <v>4.6160024425555897E-2</v>
      </c>
      <c r="Y42">
        <f t="shared" ca="1" si="11"/>
        <v>7.7622619190753389E-2</v>
      </c>
      <c r="Z42">
        <f t="shared" ca="1" si="3"/>
        <v>0.87621735638369069</v>
      </c>
      <c r="AA42">
        <f t="shared" ca="1" si="10"/>
        <v>0</v>
      </c>
      <c r="AB42">
        <f t="shared" ca="1" si="10"/>
        <v>0</v>
      </c>
      <c r="AC42">
        <f t="shared" ca="1" si="10"/>
        <v>1</v>
      </c>
      <c r="AD42">
        <f t="shared" ca="1" si="5"/>
        <v>0</v>
      </c>
      <c r="AE42">
        <f t="shared" ca="1" si="5"/>
        <v>0</v>
      </c>
      <c r="AF42">
        <f t="shared" ca="1" si="5"/>
        <v>-0.13214109509767194</v>
      </c>
    </row>
    <row r="43" spans="1:32" x14ac:dyDescent="0.25">
      <c r="A43">
        <v>202</v>
      </c>
      <c r="B43">
        <v>0</v>
      </c>
      <c r="C43">
        <v>1</v>
      </c>
      <c r="D43">
        <v>0</v>
      </c>
      <c r="E43">
        <v>-1</v>
      </c>
      <c r="F43">
        <v>-1</v>
      </c>
      <c r="G43">
        <v>1</v>
      </c>
      <c r="H43">
        <v>0</v>
      </c>
      <c r="P43">
        <f t="shared" si="7"/>
        <v>1.9760623485944482</v>
      </c>
      <c r="Q43">
        <f t="shared" si="1"/>
        <v>7.2142796641606211</v>
      </c>
      <c r="R43">
        <v>121</v>
      </c>
      <c r="S43">
        <v>122</v>
      </c>
      <c r="T43">
        <v>123</v>
      </c>
      <c r="U43">
        <f t="shared" ca="1" si="8"/>
        <v>7.5491384789895326</v>
      </c>
      <c r="V43">
        <f t="shared" ca="1" si="8"/>
        <v>1.7116707737529904</v>
      </c>
      <c r="W43">
        <f t="shared" ca="1" si="8"/>
        <v>1.8748885193273188</v>
      </c>
      <c r="X43">
        <f t="shared" ca="1" si="9"/>
        <v>0.67792235686604319</v>
      </c>
      <c r="Y43">
        <f t="shared" ca="1" si="11"/>
        <v>0.15371023969832781</v>
      </c>
      <c r="Z43">
        <f t="shared" ca="1" si="3"/>
        <v>0.16836740343562906</v>
      </c>
      <c r="AA43">
        <f t="shared" ca="1" si="10"/>
        <v>1</v>
      </c>
      <c r="AB43">
        <f t="shared" ca="1" si="10"/>
        <v>0</v>
      </c>
      <c r="AC43">
        <f t="shared" ca="1" si="10"/>
        <v>0</v>
      </c>
      <c r="AD43">
        <f t="shared" ca="1" si="5"/>
        <v>-0.38872251549610792</v>
      </c>
      <c r="AE43">
        <f t="shared" ca="1" si="5"/>
        <v>0</v>
      </c>
      <c r="AF43">
        <f t="shared" ca="1" si="5"/>
        <v>0</v>
      </c>
    </row>
    <row r="44" spans="1:32" x14ac:dyDescent="0.25">
      <c r="A44">
        <v>202</v>
      </c>
      <c r="B44">
        <v>1</v>
      </c>
      <c r="C44">
        <v>1</v>
      </c>
      <c r="D44">
        <v>0</v>
      </c>
      <c r="E44">
        <v>1</v>
      </c>
      <c r="F44">
        <v>1</v>
      </c>
      <c r="G44">
        <v>1</v>
      </c>
      <c r="H44">
        <v>0</v>
      </c>
      <c r="P44">
        <f t="shared" si="7"/>
        <v>2.4639674904819313</v>
      </c>
      <c r="Q44">
        <f t="shared" si="1"/>
        <v>11.751342512917736</v>
      </c>
      <c r="R44">
        <v>124</v>
      </c>
      <c r="S44">
        <v>125</v>
      </c>
      <c r="T44">
        <v>126</v>
      </c>
      <c r="U44">
        <f t="shared" ca="1" si="8"/>
        <v>1.8748885193273188</v>
      </c>
      <c r="V44">
        <f t="shared" ca="1" si="8"/>
        <v>0.17225309005907632</v>
      </c>
      <c r="W44">
        <f t="shared" ca="1" si="8"/>
        <v>8.7764944329027011E-2</v>
      </c>
      <c r="X44">
        <f t="shared" ca="1" si="9"/>
        <v>0.87820636273958297</v>
      </c>
      <c r="Y44">
        <f t="shared" ca="1" si="11"/>
        <v>8.0684135687016711E-2</v>
      </c>
      <c r="Z44">
        <f t="shared" ca="1" si="3"/>
        <v>4.1109501573400424E-2</v>
      </c>
      <c r="AA44">
        <f t="shared" ca="1" si="10"/>
        <v>1</v>
      </c>
      <c r="AB44">
        <f t="shared" ca="1" si="10"/>
        <v>0</v>
      </c>
      <c r="AC44">
        <f t="shared" ca="1" si="10"/>
        <v>0</v>
      </c>
      <c r="AD44">
        <f t="shared" ca="1" si="5"/>
        <v>-0.12987367567513783</v>
      </c>
      <c r="AE44">
        <f t="shared" ca="1" si="5"/>
        <v>0</v>
      </c>
      <c r="AF44">
        <f t="shared" ca="1" si="5"/>
        <v>0</v>
      </c>
    </row>
    <row r="45" spans="1:32" x14ac:dyDescent="0.25">
      <c r="A45">
        <v>203</v>
      </c>
      <c r="B45">
        <v>1</v>
      </c>
      <c r="C45">
        <v>1</v>
      </c>
      <c r="D45">
        <v>0</v>
      </c>
      <c r="E45">
        <v>-1</v>
      </c>
      <c r="F45">
        <v>-1</v>
      </c>
      <c r="G45">
        <v>1</v>
      </c>
      <c r="H45">
        <v>0</v>
      </c>
      <c r="P45">
        <f t="shared" si="7"/>
        <v>1.9760623485944482</v>
      </c>
      <c r="Q45">
        <f t="shared" si="1"/>
        <v>7.2142796641606211</v>
      </c>
      <c r="R45">
        <v>127</v>
      </c>
      <c r="S45">
        <v>128</v>
      </c>
      <c r="T45">
        <v>129</v>
      </c>
      <c r="U45">
        <f t="shared" ca="1" si="8"/>
        <v>1.9619135553315648</v>
      </c>
      <c r="V45">
        <f t="shared" ca="1" si="8"/>
        <v>5.4613905795243362E-2</v>
      </c>
      <c r="W45">
        <f t="shared" ca="1" si="8"/>
        <v>0.63910087950999117</v>
      </c>
      <c r="X45">
        <f t="shared" ca="1" si="9"/>
        <v>0.73877565068503259</v>
      </c>
      <c r="Y45">
        <f t="shared" ca="1" si="11"/>
        <v>2.0565342280594642E-2</v>
      </c>
      <c r="Z45">
        <f t="shared" ca="1" si="3"/>
        <v>0.24065900703437276</v>
      </c>
      <c r="AA45">
        <f t="shared" ca="1" si="10"/>
        <v>1</v>
      </c>
      <c r="AB45">
        <f t="shared" ca="1" si="10"/>
        <v>0</v>
      </c>
      <c r="AC45">
        <f t="shared" ca="1" si="10"/>
        <v>0</v>
      </c>
      <c r="AD45">
        <f t="shared" ca="1" si="5"/>
        <v>-0.30276098912514593</v>
      </c>
      <c r="AE45">
        <f t="shared" ca="1" si="5"/>
        <v>0</v>
      </c>
      <c r="AF45">
        <f t="shared" ca="1" si="5"/>
        <v>0</v>
      </c>
    </row>
    <row r="46" spans="1:32" x14ac:dyDescent="0.25">
      <c r="A46">
        <v>203</v>
      </c>
      <c r="B46">
        <v>0</v>
      </c>
      <c r="C46">
        <v>-1</v>
      </c>
      <c r="D46">
        <v>-1</v>
      </c>
      <c r="E46">
        <v>1</v>
      </c>
      <c r="F46">
        <v>-1</v>
      </c>
      <c r="G46">
        <v>0</v>
      </c>
      <c r="H46">
        <v>1</v>
      </c>
      <c r="P46">
        <f t="shared" si="7"/>
        <v>0.21307820585445134</v>
      </c>
      <c r="Q46">
        <f t="shared" si="1"/>
        <v>1.2374814257516533</v>
      </c>
      <c r="R46">
        <v>130</v>
      </c>
      <c r="S46">
        <v>131</v>
      </c>
      <c r="T46">
        <v>132</v>
      </c>
      <c r="U46">
        <f t="shared" ca="1" si="8"/>
        <v>11.751342512917736</v>
      </c>
      <c r="V46">
        <f t="shared" ca="1" si="8"/>
        <v>1.8748885193273188</v>
      </c>
      <c r="W46">
        <f t="shared" ca="1" si="8"/>
        <v>7.5491384789895326</v>
      </c>
      <c r="X46">
        <f t="shared" ca="1" si="9"/>
        <v>0.55495336252257899</v>
      </c>
      <c r="Y46">
        <f t="shared" ca="1" si="11"/>
        <v>8.8541006017986937E-2</v>
      </c>
      <c r="Z46">
        <f t="shared" ca="1" si="3"/>
        <v>0.35650563145943398</v>
      </c>
      <c r="AA46">
        <f t="shared" ca="1" si="10"/>
        <v>1</v>
      </c>
      <c r="AB46">
        <f t="shared" ca="1" si="10"/>
        <v>0</v>
      </c>
      <c r="AC46">
        <f t="shared" ca="1" si="10"/>
        <v>0</v>
      </c>
      <c r="AD46">
        <f t="shared" ca="1" si="5"/>
        <v>-0.5888712002573947</v>
      </c>
      <c r="AE46">
        <f t="shared" ca="1" si="5"/>
        <v>0</v>
      </c>
      <c r="AF46">
        <f t="shared" ca="1" si="5"/>
        <v>0</v>
      </c>
    </row>
    <row r="47" spans="1:32" x14ac:dyDescent="0.25">
      <c r="A47">
        <v>203</v>
      </c>
      <c r="B47">
        <v>0</v>
      </c>
      <c r="C47">
        <v>1</v>
      </c>
      <c r="D47">
        <v>0</v>
      </c>
      <c r="E47">
        <v>1</v>
      </c>
      <c r="F47">
        <v>-1</v>
      </c>
      <c r="G47">
        <v>-1</v>
      </c>
      <c r="H47">
        <v>-1</v>
      </c>
      <c r="P47">
        <f t="shared" si="7"/>
        <v>-0.96743768394048846</v>
      </c>
      <c r="Q47">
        <f t="shared" si="1"/>
        <v>0.38005561415131528</v>
      </c>
      <c r="R47">
        <v>133</v>
      </c>
      <c r="S47">
        <v>134</v>
      </c>
      <c r="T47">
        <v>135</v>
      </c>
      <c r="U47">
        <f t="shared" ca="1" si="8"/>
        <v>5.4613905795243362E-2</v>
      </c>
      <c r="V47">
        <f t="shared" ca="1" si="8"/>
        <v>8.7764944329027011E-2</v>
      </c>
      <c r="W47">
        <f t="shared" ca="1" si="8"/>
        <v>0.17225309005907632</v>
      </c>
      <c r="X47">
        <f t="shared" ca="1" si="9"/>
        <v>0.17358029754836074</v>
      </c>
      <c r="Y47">
        <f t="shared" ca="1" si="11"/>
        <v>0.27894480222790918</v>
      </c>
      <c r="Z47">
        <f t="shared" ca="1" si="3"/>
        <v>0.54747490022373002</v>
      </c>
      <c r="AA47">
        <f t="shared" ca="1" si="10"/>
        <v>0</v>
      </c>
      <c r="AB47">
        <f t="shared" ca="1" si="10"/>
        <v>0</v>
      </c>
      <c r="AC47">
        <f t="shared" ca="1" si="10"/>
        <v>1</v>
      </c>
      <c r="AD47">
        <f t="shared" ca="1" si="5"/>
        <v>0</v>
      </c>
      <c r="AE47">
        <f t="shared" ca="1" si="5"/>
        <v>0</v>
      </c>
      <c r="AF47">
        <f t="shared" ca="1" si="5"/>
        <v>-0.60243866268258417</v>
      </c>
    </row>
    <row r="48" spans="1:32" x14ac:dyDescent="0.25">
      <c r="A48">
        <v>204</v>
      </c>
      <c r="B48">
        <v>0</v>
      </c>
      <c r="C48">
        <v>1</v>
      </c>
      <c r="D48">
        <v>0</v>
      </c>
      <c r="E48">
        <v>1</v>
      </c>
      <c r="F48">
        <v>-1</v>
      </c>
      <c r="G48">
        <v>-1</v>
      </c>
      <c r="H48">
        <v>-1</v>
      </c>
      <c r="P48">
        <f t="shared" si="7"/>
        <v>-0.96743768394048846</v>
      </c>
      <c r="Q48">
        <f t="shared" si="1"/>
        <v>0.38005561415131528</v>
      </c>
      <c r="R48">
        <v>136</v>
      </c>
      <c r="S48">
        <v>137</v>
      </c>
      <c r="T48">
        <v>138</v>
      </c>
      <c r="U48">
        <f t="shared" ca="1" si="8"/>
        <v>1.7116707737529904</v>
      </c>
      <c r="V48">
        <f t="shared" ca="1" si="8"/>
        <v>7.5491384789895326</v>
      </c>
      <c r="W48">
        <f t="shared" ca="1" si="8"/>
        <v>1.9619135553315648</v>
      </c>
      <c r="X48">
        <f t="shared" ca="1" si="9"/>
        <v>0.15251831512060016</v>
      </c>
      <c r="Y48">
        <f t="shared" ca="1" si="11"/>
        <v>0.67266550266735381</v>
      </c>
      <c r="Z48">
        <f t="shared" ca="1" si="3"/>
        <v>0.17481618221204606</v>
      </c>
      <c r="AA48">
        <f t="shared" ca="1" si="10"/>
        <v>0</v>
      </c>
      <c r="AB48">
        <f t="shared" ca="1" si="10"/>
        <v>1</v>
      </c>
      <c r="AC48">
        <f t="shared" ca="1" si="10"/>
        <v>0</v>
      </c>
      <c r="AD48">
        <f t="shared" ca="1" si="5"/>
        <v>0</v>
      </c>
      <c r="AE48">
        <f t="shared" ca="1" si="5"/>
        <v>-0.39650709716333266</v>
      </c>
      <c r="AF48">
        <f t="shared" ca="1" si="5"/>
        <v>0</v>
      </c>
    </row>
    <row r="49" spans="1:32" x14ac:dyDescent="0.25">
      <c r="A49">
        <v>204</v>
      </c>
      <c r="B49">
        <v>0</v>
      </c>
      <c r="C49">
        <v>-1</v>
      </c>
      <c r="D49">
        <v>-1</v>
      </c>
      <c r="E49">
        <v>1</v>
      </c>
      <c r="F49">
        <v>1</v>
      </c>
      <c r="G49">
        <v>-1</v>
      </c>
      <c r="H49">
        <v>-1</v>
      </c>
      <c r="P49">
        <f t="shared" si="7"/>
        <v>-0.44769296615724818</v>
      </c>
      <c r="Q49">
        <f t="shared" si="1"/>
        <v>0.63910087950999117</v>
      </c>
      <c r="R49">
        <v>139</v>
      </c>
      <c r="S49">
        <v>140</v>
      </c>
      <c r="T49">
        <v>141</v>
      </c>
      <c r="U49">
        <f t="shared" ca="1" si="8"/>
        <v>1.2374814257516533</v>
      </c>
      <c r="V49">
        <f t="shared" ca="1" si="8"/>
        <v>1.9619135553315648</v>
      </c>
      <c r="W49">
        <f t="shared" ca="1" si="8"/>
        <v>5.4613905795243362E-2</v>
      </c>
      <c r="X49">
        <f t="shared" ca="1" si="9"/>
        <v>0.38029442105757644</v>
      </c>
      <c r="Y49">
        <f t="shared" ca="1" si="11"/>
        <v>0.60292200283866126</v>
      </c>
      <c r="Z49">
        <f t="shared" ca="1" si="3"/>
        <v>1.6783576103762254E-2</v>
      </c>
      <c r="AA49">
        <f t="shared" ca="1" si="10"/>
        <v>0</v>
      </c>
      <c r="AB49">
        <f t="shared" ca="1" si="10"/>
        <v>1</v>
      </c>
      <c r="AC49">
        <f t="shared" ca="1" si="10"/>
        <v>0</v>
      </c>
      <c r="AD49">
        <f t="shared" ca="1" si="5"/>
        <v>0</v>
      </c>
      <c r="AE49">
        <f t="shared" ca="1" si="5"/>
        <v>-0.50596743914746023</v>
      </c>
      <c r="AF49">
        <f t="shared" ca="1" si="5"/>
        <v>0</v>
      </c>
    </row>
    <row r="50" spans="1:32" x14ac:dyDescent="0.25">
      <c r="A50">
        <v>204</v>
      </c>
      <c r="B50">
        <v>1</v>
      </c>
      <c r="C50">
        <v>1</v>
      </c>
      <c r="D50">
        <v>0</v>
      </c>
      <c r="E50">
        <v>-1</v>
      </c>
      <c r="F50">
        <v>-1</v>
      </c>
      <c r="G50">
        <v>1</v>
      </c>
      <c r="H50">
        <v>0</v>
      </c>
      <c r="P50">
        <f t="shared" si="7"/>
        <v>1.9760623485944482</v>
      </c>
      <c r="Q50">
        <f t="shared" si="1"/>
        <v>7.2142796641606211</v>
      </c>
      <c r="R50">
        <v>142</v>
      </c>
      <c r="S50">
        <v>143</v>
      </c>
      <c r="T50">
        <v>144</v>
      </c>
      <c r="U50">
        <f t="shared" ca="1" si="8"/>
        <v>0.63910087950999117</v>
      </c>
      <c r="V50">
        <f t="shared" ca="1" si="8"/>
        <v>11.751342512917736</v>
      </c>
      <c r="W50">
        <f t="shared" ca="1" si="8"/>
        <v>1.2374814257516533</v>
      </c>
      <c r="X50">
        <f t="shared" ca="1" si="9"/>
        <v>4.6896419523641875E-2</v>
      </c>
      <c r="Y50">
        <f t="shared" ca="1" si="11"/>
        <v>0.86229874832019027</v>
      </c>
      <c r="Z50">
        <f t="shared" ca="1" si="3"/>
        <v>9.0804832156167886E-2</v>
      </c>
      <c r="AA50">
        <f t="shared" ca="1" si="10"/>
        <v>0</v>
      </c>
      <c r="AB50">
        <f t="shared" ca="1" si="10"/>
        <v>1</v>
      </c>
      <c r="AC50">
        <f t="shared" ca="1" si="10"/>
        <v>0</v>
      </c>
      <c r="AD50">
        <f t="shared" ca="1" si="5"/>
        <v>0</v>
      </c>
      <c r="AE50">
        <f t="shared" ca="1" si="5"/>
        <v>-0.14815349258447313</v>
      </c>
      <c r="AF50">
        <f t="shared" ca="1" si="5"/>
        <v>0</v>
      </c>
    </row>
    <row r="51" spans="1:32" x14ac:dyDescent="0.25">
      <c r="A51">
        <v>205</v>
      </c>
      <c r="B51">
        <v>1</v>
      </c>
      <c r="C51">
        <v>-1</v>
      </c>
      <c r="D51">
        <v>-1</v>
      </c>
      <c r="E51">
        <v>-1</v>
      </c>
      <c r="F51">
        <v>-1</v>
      </c>
      <c r="G51">
        <v>1</v>
      </c>
      <c r="H51">
        <v>0</v>
      </c>
      <c r="P51">
        <f t="shared" si="7"/>
        <v>2.0214334480069271</v>
      </c>
      <c r="Q51">
        <f t="shared" si="1"/>
        <v>7.5491384789895326</v>
      </c>
      <c r="R51">
        <v>145</v>
      </c>
      <c r="S51">
        <v>146</v>
      </c>
      <c r="T51">
        <v>147</v>
      </c>
      <c r="U51">
        <f t="shared" ca="1" si="8"/>
        <v>8.7764944329027011E-2</v>
      </c>
      <c r="V51">
        <f t="shared" ca="1" si="8"/>
        <v>0.38005561415131528</v>
      </c>
      <c r="W51">
        <f t="shared" ca="1" si="8"/>
        <v>1.7116707737529904</v>
      </c>
      <c r="X51">
        <f t="shared" ca="1" si="9"/>
        <v>4.0268544788886106E-2</v>
      </c>
      <c r="Y51">
        <f t="shared" ca="1" si="11"/>
        <v>0.17437812600147892</v>
      </c>
      <c r="Z51">
        <f t="shared" ca="1" si="3"/>
        <v>0.78535332920963485</v>
      </c>
      <c r="AA51">
        <f t="shared" ca="1" si="10"/>
        <v>0</v>
      </c>
      <c r="AB51">
        <f t="shared" ca="1" si="10"/>
        <v>0</v>
      </c>
      <c r="AC51">
        <f t="shared" ca="1" si="10"/>
        <v>1</v>
      </c>
      <c r="AD51">
        <f t="shared" ca="1" si="5"/>
        <v>0</v>
      </c>
      <c r="AE51">
        <f t="shared" ca="1" si="5"/>
        <v>0</v>
      </c>
      <c r="AF51">
        <f t="shared" ca="1" si="5"/>
        <v>-0.24162156156076189</v>
      </c>
    </row>
    <row r="52" spans="1:32" x14ac:dyDescent="0.25">
      <c r="A52">
        <v>205</v>
      </c>
      <c r="B52">
        <v>0</v>
      </c>
      <c r="C52">
        <v>0</v>
      </c>
      <c r="D52">
        <v>1</v>
      </c>
      <c r="E52">
        <v>1</v>
      </c>
      <c r="F52">
        <v>1</v>
      </c>
      <c r="G52">
        <v>1</v>
      </c>
      <c r="H52">
        <v>0</v>
      </c>
      <c r="P52">
        <f t="shared" si="7"/>
        <v>0.53746995417573973</v>
      </c>
      <c r="Q52">
        <f t="shared" si="1"/>
        <v>1.7116707737529904</v>
      </c>
      <c r="R52">
        <v>148</v>
      </c>
      <c r="S52">
        <v>149</v>
      </c>
      <c r="T52">
        <v>150</v>
      </c>
      <c r="U52">
        <f t="shared" ca="1" si="8"/>
        <v>0.17225309005907632</v>
      </c>
      <c r="V52">
        <f t="shared" ca="1" si="8"/>
        <v>7.2142796641606211</v>
      </c>
      <c r="W52">
        <f t="shared" ca="1" si="8"/>
        <v>11.751342512917736</v>
      </c>
      <c r="X52">
        <f t="shared" ca="1" si="9"/>
        <v>9.000638140580863E-3</v>
      </c>
      <c r="Y52">
        <f t="shared" ca="1" si="11"/>
        <v>0.37696345928999803</v>
      </c>
      <c r="Z52">
        <f t="shared" ca="1" si="3"/>
        <v>0.6140359025694212</v>
      </c>
      <c r="AA52">
        <f t="shared" ca="1" si="10"/>
        <v>0</v>
      </c>
      <c r="AB52">
        <f t="shared" ca="1" si="10"/>
        <v>0</v>
      </c>
      <c r="AC52">
        <f t="shared" ca="1" si="10"/>
        <v>1</v>
      </c>
      <c r="AD52">
        <f t="shared" ca="1" si="5"/>
        <v>0</v>
      </c>
      <c r="AE52">
        <f t="shared" ca="1" si="5"/>
        <v>0</v>
      </c>
      <c r="AF52">
        <f t="shared" ca="1" si="5"/>
        <v>-0.48770187930438819</v>
      </c>
    </row>
    <row r="53" spans="1:32" x14ac:dyDescent="0.25">
      <c r="A53">
        <v>205</v>
      </c>
      <c r="B53">
        <v>0</v>
      </c>
      <c r="C53">
        <v>1</v>
      </c>
      <c r="D53">
        <v>0</v>
      </c>
      <c r="E53">
        <v>-1</v>
      </c>
      <c r="F53">
        <v>1</v>
      </c>
      <c r="G53">
        <v>0</v>
      </c>
      <c r="H53">
        <v>1</v>
      </c>
      <c r="P53">
        <f t="shared" si="7"/>
        <v>0.62854920129601144</v>
      </c>
      <c r="Q53">
        <f t="shared" si="1"/>
        <v>1.8748885193273188</v>
      </c>
      <c r="R53">
        <v>151</v>
      </c>
      <c r="S53">
        <v>152</v>
      </c>
      <c r="T53">
        <v>153</v>
      </c>
      <c r="U53">
        <f t="shared" ca="1" si="8"/>
        <v>7.2142796641606211</v>
      </c>
      <c r="V53">
        <f t="shared" ca="1" si="8"/>
        <v>1.2374814257516533</v>
      </c>
      <c r="W53">
        <f t="shared" ca="1" si="8"/>
        <v>0.38005561415131528</v>
      </c>
      <c r="X53">
        <f t="shared" ca="1" si="9"/>
        <v>0.81685115372030681</v>
      </c>
      <c r="Y53">
        <f t="shared" ca="1" si="11"/>
        <v>0.14011629398765468</v>
      </c>
      <c r="Z53">
        <f t="shared" ca="1" si="3"/>
        <v>4.3032552292038471E-2</v>
      </c>
      <c r="AA53">
        <f t="shared" ca="1" si="10"/>
        <v>1</v>
      </c>
      <c r="AB53">
        <f t="shared" ca="1" si="10"/>
        <v>0</v>
      </c>
      <c r="AC53">
        <f t="shared" ca="1" si="10"/>
        <v>0</v>
      </c>
      <c r="AD53">
        <f t="shared" ca="1" si="5"/>
        <v>-0.20229838710894363</v>
      </c>
      <c r="AE53">
        <f t="shared" ca="1" si="5"/>
        <v>0</v>
      </c>
      <c r="AF53">
        <f t="shared" ca="1" si="5"/>
        <v>0</v>
      </c>
    </row>
    <row r="54" spans="1:32" x14ac:dyDescent="0.25">
      <c r="A54">
        <v>206</v>
      </c>
      <c r="B54">
        <v>1</v>
      </c>
      <c r="C54">
        <v>1</v>
      </c>
      <c r="D54">
        <v>0</v>
      </c>
      <c r="E54">
        <v>-1</v>
      </c>
      <c r="F54">
        <v>1</v>
      </c>
      <c r="G54">
        <v>0</v>
      </c>
      <c r="H54">
        <v>1</v>
      </c>
      <c r="P54">
        <f t="shared" si="7"/>
        <v>0.62854920129601144</v>
      </c>
      <c r="Q54">
        <f t="shared" si="1"/>
        <v>1.8748885193273188</v>
      </c>
      <c r="R54">
        <v>154</v>
      </c>
      <c r="S54">
        <v>155</v>
      </c>
      <c r="T54">
        <v>156</v>
      </c>
      <c r="U54">
        <f t="shared" ca="1" si="8"/>
        <v>0.38005561415131528</v>
      </c>
      <c r="V54">
        <f t="shared" ca="1" si="8"/>
        <v>0.63910087950999117</v>
      </c>
      <c r="W54">
        <f t="shared" ca="1" si="8"/>
        <v>7.2142796641606211</v>
      </c>
      <c r="X54">
        <f t="shared" ca="1" si="9"/>
        <v>4.6160024425555897E-2</v>
      </c>
      <c r="Y54">
        <f t="shared" ca="1" si="11"/>
        <v>7.7622619190753389E-2</v>
      </c>
      <c r="Z54">
        <f t="shared" ca="1" si="3"/>
        <v>0.87621735638369069</v>
      </c>
      <c r="AA54">
        <f t="shared" ca="1" si="10"/>
        <v>0</v>
      </c>
      <c r="AB54">
        <f t="shared" ca="1" si="10"/>
        <v>0</v>
      </c>
      <c r="AC54">
        <f t="shared" ca="1" si="10"/>
        <v>1</v>
      </c>
      <c r="AD54">
        <f t="shared" ca="1" si="5"/>
        <v>0</v>
      </c>
      <c r="AE54">
        <f t="shared" ca="1" si="5"/>
        <v>0</v>
      </c>
      <c r="AF54">
        <f t="shared" ca="1" si="5"/>
        <v>-0.13214109509767194</v>
      </c>
    </row>
    <row r="55" spans="1:32" x14ac:dyDescent="0.25">
      <c r="A55">
        <v>206</v>
      </c>
      <c r="B55">
        <v>0</v>
      </c>
      <c r="C55">
        <v>0</v>
      </c>
      <c r="D55">
        <v>1</v>
      </c>
      <c r="E55">
        <v>1</v>
      </c>
      <c r="F55">
        <v>-1</v>
      </c>
      <c r="G55">
        <v>0</v>
      </c>
      <c r="H55">
        <v>1</v>
      </c>
      <c r="P55">
        <f t="shared" si="7"/>
        <v>-1.7587904298642194</v>
      </c>
      <c r="Q55">
        <f t="shared" si="1"/>
        <v>0.17225309005907632</v>
      </c>
      <c r="R55">
        <v>157</v>
      </c>
      <c r="S55">
        <v>158</v>
      </c>
      <c r="T55">
        <v>159</v>
      </c>
      <c r="U55">
        <f t="shared" ca="1" si="8"/>
        <v>7.5491384789895326</v>
      </c>
      <c r="V55">
        <f t="shared" ca="1" si="8"/>
        <v>1.7116707737529904</v>
      </c>
      <c r="W55">
        <f t="shared" ca="1" si="8"/>
        <v>1.8748885193273188</v>
      </c>
      <c r="X55">
        <f t="shared" ca="1" si="9"/>
        <v>0.67792235686604319</v>
      </c>
      <c r="Y55">
        <f t="shared" ca="1" si="11"/>
        <v>0.15371023969832781</v>
      </c>
      <c r="Z55">
        <f t="shared" ca="1" si="3"/>
        <v>0.16836740343562906</v>
      </c>
      <c r="AA55">
        <f t="shared" ca="1" si="10"/>
        <v>1</v>
      </c>
      <c r="AB55">
        <f t="shared" ca="1" si="10"/>
        <v>0</v>
      </c>
      <c r="AC55">
        <f t="shared" ca="1" si="10"/>
        <v>0</v>
      </c>
      <c r="AD55">
        <f t="shared" ca="1" si="5"/>
        <v>-0.38872251549610792</v>
      </c>
      <c r="AE55">
        <f t="shared" ca="1" si="5"/>
        <v>0</v>
      </c>
      <c r="AF55">
        <f t="shared" ca="1" si="5"/>
        <v>0</v>
      </c>
    </row>
    <row r="56" spans="1:32" x14ac:dyDescent="0.25">
      <c r="A56">
        <v>206</v>
      </c>
      <c r="B56">
        <v>0</v>
      </c>
      <c r="C56">
        <v>0</v>
      </c>
      <c r="D56">
        <v>1</v>
      </c>
      <c r="E56">
        <v>-1</v>
      </c>
      <c r="F56">
        <v>1</v>
      </c>
      <c r="G56">
        <v>-1</v>
      </c>
      <c r="H56">
        <v>-1</v>
      </c>
      <c r="P56">
        <f t="shared" si="7"/>
        <v>-2.4330931253926411</v>
      </c>
      <c r="Q56">
        <f t="shared" si="1"/>
        <v>8.7764944329027011E-2</v>
      </c>
      <c r="R56">
        <v>160</v>
      </c>
      <c r="S56">
        <v>161</v>
      </c>
      <c r="T56">
        <v>162</v>
      </c>
      <c r="U56">
        <f t="shared" ca="1" si="8"/>
        <v>1.8748885193273188</v>
      </c>
      <c r="V56">
        <f t="shared" ca="1" si="8"/>
        <v>0.17225309005907632</v>
      </c>
      <c r="W56">
        <f t="shared" ca="1" si="8"/>
        <v>8.7764944329027011E-2</v>
      </c>
      <c r="X56">
        <f t="shared" ca="1" si="9"/>
        <v>0.87820636273958297</v>
      </c>
      <c r="Y56">
        <f t="shared" ca="1" si="11"/>
        <v>8.0684135687016711E-2</v>
      </c>
      <c r="Z56">
        <f t="shared" ca="1" si="3"/>
        <v>4.1109501573400424E-2</v>
      </c>
      <c r="AA56">
        <f t="shared" ca="1" si="10"/>
        <v>1</v>
      </c>
      <c r="AB56">
        <f t="shared" ca="1" si="10"/>
        <v>0</v>
      </c>
      <c r="AC56">
        <f t="shared" ca="1" si="10"/>
        <v>0</v>
      </c>
      <c r="AD56">
        <f t="shared" ca="1" si="5"/>
        <v>-0.12987367567513783</v>
      </c>
      <c r="AE56">
        <f t="shared" ca="1" si="5"/>
        <v>0</v>
      </c>
      <c r="AF56">
        <f t="shared" ca="1" si="5"/>
        <v>0</v>
      </c>
    </row>
    <row r="57" spans="1:32" x14ac:dyDescent="0.25">
      <c r="A57">
        <v>207</v>
      </c>
      <c r="B57">
        <v>1</v>
      </c>
      <c r="C57">
        <v>-1</v>
      </c>
      <c r="D57">
        <v>-1</v>
      </c>
      <c r="E57">
        <v>-1</v>
      </c>
      <c r="F57">
        <v>1</v>
      </c>
      <c r="G57">
        <v>0</v>
      </c>
      <c r="H57">
        <v>1</v>
      </c>
      <c r="P57">
        <f t="shared" si="7"/>
        <v>0.67392030070849041</v>
      </c>
      <c r="Q57">
        <f t="shared" si="1"/>
        <v>1.9619135553315648</v>
      </c>
      <c r="R57">
        <v>163</v>
      </c>
      <c r="S57">
        <v>164</v>
      </c>
      <c r="T57">
        <v>165</v>
      </c>
      <c r="U57">
        <f t="shared" ca="1" si="8"/>
        <v>1.9619135553315648</v>
      </c>
      <c r="V57">
        <f t="shared" ca="1" si="8"/>
        <v>5.4613905795243362E-2</v>
      </c>
      <c r="W57">
        <f t="shared" ca="1" si="8"/>
        <v>0.63910087950999117</v>
      </c>
      <c r="X57">
        <f t="shared" ca="1" si="9"/>
        <v>0.73877565068503259</v>
      </c>
      <c r="Y57">
        <f t="shared" ca="1" si="11"/>
        <v>2.0565342280594642E-2</v>
      </c>
      <c r="Z57">
        <f t="shared" ca="1" si="3"/>
        <v>0.24065900703437276</v>
      </c>
      <c r="AA57">
        <f t="shared" ca="1" si="10"/>
        <v>1</v>
      </c>
      <c r="AB57">
        <f t="shared" ca="1" si="10"/>
        <v>0</v>
      </c>
      <c r="AC57">
        <f t="shared" ca="1" si="10"/>
        <v>0</v>
      </c>
      <c r="AD57">
        <f t="shared" ca="1" si="5"/>
        <v>-0.30276098912514593</v>
      </c>
      <c r="AE57">
        <f t="shared" ca="1" si="5"/>
        <v>0</v>
      </c>
      <c r="AF57">
        <f t="shared" ca="1" si="5"/>
        <v>0</v>
      </c>
    </row>
    <row r="58" spans="1:32" x14ac:dyDescent="0.25">
      <c r="A58">
        <v>207</v>
      </c>
      <c r="B58">
        <v>0</v>
      </c>
      <c r="C58">
        <v>0</v>
      </c>
      <c r="D58">
        <v>1</v>
      </c>
      <c r="E58">
        <v>-1</v>
      </c>
      <c r="F58">
        <v>-1</v>
      </c>
      <c r="G58">
        <v>-1</v>
      </c>
      <c r="H58">
        <v>-1</v>
      </c>
      <c r="P58">
        <f t="shared" si="7"/>
        <v>-2.9074667437634028</v>
      </c>
      <c r="Q58">
        <f t="shared" si="1"/>
        <v>5.4613905795243362E-2</v>
      </c>
      <c r="R58">
        <v>166</v>
      </c>
      <c r="S58">
        <v>167</v>
      </c>
      <c r="T58">
        <v>168</v>
      </c>
      <c r="U58">
        <f t="shared" ca="1" si="8"/>
        <v>11.751342512917736</v>
      </c>
      <c r="V58">
        <f t="shared" ca="1" si="8"/>
        <v>1.8748885193273188</v>
      </c>
      <c r="W58">
        <f t="shared" ca="1" si="8"/>
        <v>7.5491384789895326</v>
      </c>
      <c r="X58">
        <f t="shared" ca="1" si="9"/>
        <v>0.55495336252257899</v>
      </c>
      <c r="Y58">
        <f t="shared" ca="1" si="11"/>
        <v>8.8541006017986937E-2</v>
      </c>
      <c r="Z58">
        <f t="shared" ca="1" si="3"/>
        <v>0.35650563145943398</v>
      </c>
      <c r="AA58">
        <f t="shared" ca="1" si="10"/>
        <v>1</v>
      </c>
      <c r="AB58">
        <f t="shared" ca="1" si="10"/>
        <v>0</v>
      </c>
      <c r="AC58">
        <f t="shared" ca="1" si="10"/>
        <v>0</v>
      </c>
      <c r="AD58">
        <f t="shared" ca="1" si="5"/>
        <v>-0.5888712002573947</v>
      </c>
      <c r="AE58">
        <f t="shared" ca="1" si="5"/>
        <v>0</v>
      </c>
      <c r="AF58">
        <f t="shared" ca="1" si="5"/>
        <v>0</v>
      </c>
    </row>
    <row r="59" spans="1:32" x14ac:dyDescent="0.25">
      <c r="A59">
        <v>207</v>
      </c>
      <c r="B59">
        <v>0</v>
      </c>
      <c r="C59">
        <v>-1</v>
      </c>
      <c r="D59">
        <v>-1</v>
      </c>
      <c r="E59">
        <v>1</v>
      </c>
      <c r="F59">
        <v>1</v>
      </c>
      <c r="G59">
        <v>-1</v>
      </c>
      <c r="H59">
        <v>-1</v>
      </c>
      <c r="P59">
        <f t="shared" si="7"/>
        <v>-0.44769296615724818</v>
      </c>
      <c r="Q59">
        <f t="shared" si="1"/>
        <v>0.63910087950999117</v>
      </c>
      <c r="R59">
        <v>169</v>
      </c>
      <c r="S59">
        <v>170</v>
      </c>
      <c r="T59">
        <v>171</v>
      </c>
      <c r="U59">
        <f t="shared" ca="1" si="8"/>
        <v>5.4613905795243362E-2</v>
      </c>
      <c r="V59">
        <f t="shared" ca="1" si="8"/>
        <v>8.7764944329027011E-2</v>
      </c>
      <c r="W59">
        <f t="shared" ca="1" si="8"/>
        <v>0.17225309005907632</v>
      </c>
      <c r="X59">
        <f t="shared" ca="1" si="9"/>
        <v>0.17358029754836074</v>
      </c>
      <c r="Y59">
        <f t="shared" ca="1" si="11"/>
        <v>0.27894480222790918</v>
      </c>
      <c r="Z59">
        <f t="shared" ca="1" si="3"/>
        <v>0.54747490022373002</v>
      </c>
      <c r="AA59">
        <f t="shared" ca="1" si="10"/>
        <v>0</v>
      </c>
      <c r="AB59">
        <f t="shared" ca="1" si="10"/>
        <v>0</v>
      </c>
      <c r="AC59">
        <f t="shared" ca="1" si="10"/>
        <v>1</v>
      </c>
      <c r="AD59">
        <f t="shared" ca="1" si="5"/>
        <v>0</v>
      </c>
      <c r="AE59">
        <f t="shared" ca="1" si="5"/>
        <v>0</v>
      </c>
      <c r="AF59">
        <f t="shared" ca="1" si="5"/>
        <v>-0.60243866268258417</v>
      </c>
    </row>
    <row r="60" spans="1:32" x14ac:dyDescent="0.25">
      <c r="A60">
        <v>208</v>
      </c>
      <c r="B60">
        <v>1</v>
      </c>
      <c r="C60">
        <v>1</v>
      </c>
      <c r="D60">
        <v>0</v>
      </c>
      <c r="E60">
        <v>1</v>
      </c>
      <c r="F60">
        <v>1</v>
      </c>
      <c r="G60">
        <v>1</v>
      </c>
      <c r="H60">
        <v>0</v>
      </c>
      <c r="P60">
        <f t="shared" si="7"/>
        <v>2.4639674904819313</v>
      </c>
      <c r="Q60">
        <f t="shared" si="1"/>
        <v>11.751342512917736</v>
      </c>
      <c r="R60">
        <v>172</v>
      </c>
      <c r="S60">
        <v>173</v>
      </c>
      <c r="T60">
        <v>174</v>
      </c>
      <c r="U60">
        <f t="shared" ca="1" si="8"/>
        <v>1.7116707737529904</v>
      </c>
      <c r="V60">
        <f t="shared" ca="1" si="8"/>
        <v>7.5491384789895326</v>
      </c>
      <c r="W60">
        <f t="shared" ca="1" si="8"/>
        <v>1.9619135553315648</v>
      </c>
      <c r="X60">
        <f t="shared" ca="1" si="9"/>
        <v>0.15251831512060016</v>
      </c>
      <c r="Y60">
        <f t="shared" ca="1" si="11"/>
        <v>0.67266550266735381</v>
      </c>
      <c r="Z60">
        <f t="shared" ca="1" si="3"/>
        <v>0.17481618221204606</v>
      </c>
      <c r="AA60">
        <f t="shared" ca="1" si="10"/>
        <v>0</v>
      </c>
      <c r="AB60">
        <f t="shared" ca="1" si="10"/>
        <v>1</v>
      </c>
      <c r="AC60">
        <f t="shared" ca="1" si="10"/>
        <v>0</v>
      </c>
      <c r="AD60">
        <f t="shared" ca="1" si="5"/>
        <v>0</v>
      </c>
      <c r="AE60">
        <f t="shared" ca="1" si="5"/>
        <v>-0.39650709716333266</v>
      </c>
      <c r="AF60">
        <f t="shared" ca="1" si="5"/>
        <v>0</v>
      </c>
    </row>
    <row r="61" spans="1:32" x14ac:dyDescent="0.25">
      <c r="A61">
        <v>208</v>
      </c>
      <c r="B61">
        <v>0</v>
      </c>
      <c r="C61">
        <v>1</v>
      </c>
      <c r="D61">
        <v>0</v>
      </c>
      <c r="E61">
        <v>-1</v>
      </c>
      <c r="F61">
        <v>1</v>
      </c>
      <c r="G61">
        <v>0</v>
      </c>
      <c r="H61">
        <v>1</v>
      </c>
      <c r="P61">
        <f t="shared" si="7"/>
        <v>0.62854920129601144</v>
      </c>
      <c r="Q61">
        <f t="shared" si="1"/>
        <v>1.8748885193273188</v>
      </c>
      <c r="R61">
        <v>175</v>
      </c>
      <c r="S61">
        <v>176</v>
      </c>
      <c r="T61">
        <v>177</v>
      </c>
      <c r="U61">
        <f t="shared" ca="1" si="8"/>
        <v>1.2374814257516533</v>
      </c>
      <c r="V61">
        <f t="shared" ca="1" si="8"/>
        <v>1.9619135553315648</v>
      </c>
      <c r="W61">
        <f t="shared" ca="1" si="8"/>
        <v>5.4613905795243362E-2</v>
      </c>
      <c r="X61">
        <f t="shared" ca="1" si="9"/>
        <v>0.38029442105757644</v>
      </c>
      <c r="Y61">
        <f t="shared" ca="1" si="11"/>
        <v>0.60292200283866126</v>
      </c>
      <c r="Z61">
        <f t="shared" ca="1" si="3"/>
        <v>1.6783576103762254E-2</v>
      </c>
      <c r="AA61">
        <f t="shared" ca="1" si="10"/>
        <v>0</v>
      </c>
      <c r="AB61">
        <f t="shared" ca="1" si="10"/>
        <v>1</v>
      </c>
      <c r="AC61">
        <f t="shared" ca="1" si="10"/>
        <v>0</v>
      </c>
      <c r="AD61">
        <f t="shared" ca="1" si="5"/>
        <v>0</v>
      </c>
      <c r="AE61">
        <f t="shared" ca="1" si="5"/>
        <v>-0.50596743914746023</v>
      </c>
      <c r="AF61">
        <f t="shared" ca="1" si="5"/>
        <v>0</v>
      </c>
    </row>
    <row r="62" spans="1:32" x14ac:dyDescent="0.25">
      <c r="A62">
        <v>208</v>
      </c>
      <c r="B62">
        <v>0</v>
      </c>
      <c r="C62">
        <v>-1</v>
      </c>
      <c r="D62">
        <v>-1</v>
      </c>
      <c r="E62">
        <v>-1</v>
      </c>
      <c r="F62">
        <v>-1</v>
      </c>
      <c r="G62">
        <v>1</v>
      </c>
      <c r="H62">
        <v>0</v>
      </c>
      <c r="P62">
        <f t="shared" si="7"/>
        <v>2.0214334480069271</v>
      </c>
      <c r="Q62">
        <f t="shared" si="1"/>
        <v>7.5491384789895326</v>
      </c>
      <c r="R62">
        <v>178</v>
      </c>
      <c r="S62">
        <v>179</v>
      </c>
      <c r="T62">
        <v>180</v>
      </c>
      <c r="U62">
        <f t="shared" ca="1" si="8"/>
        <v>0.63910087950999117</v>
      </c>
      <c r="V62">
        <f t="shared" ca="1" si="8"/>
        <v>11.751342512917736</v>
      </c>
      <c r="W62">
        <f t="shared" ca="1" si="8"/>
        <v>1.2374814257516533</v>
      </c>
      <c r="X62">
        <f t="shared" ca="1" si="9"/>
        <v>4.6896419523641875E-2</v>
      </c>
      <c r="Y62">
        <f t="shared" ca="1" si="11"/>
        <v>0.86229874832019027</v>
      </c>
      <c r="Z62">
        <f t="shared" ca="1" si="3"/>
        <v>9.0804832156167886E-2</v>
      </c>
      <c r="AA62">
        <f t="shared" ca="1" si="10"/>
        <v>0</v>
      </c>
      <c r="AB62">
        <f t="shared" ca="1" si="10"/>
        <v>1</v>
      </c>
      <c r="AC62">
        <f t="shared" ca="1" si="10"/>
        <v>0</v>
      </c>
      <c r="AD62">
        <f t="shared" ca="1" si="5"/>
        <v>0</v>
      </c>
      <c r="AE62">
        <f t="shared" ca="1" si="5"/>
        <v>-0.14815349258447313</v>
      </c>
      <c r="AF62">
        <f t="shared" ca="1" si="5"/>
        <v>0</v>
      </c>
    </row>
    <row r="63" spans="1:32" x14ac:dyDescent="0.25">
      <c r="A63">
        <v>209</v>
      </c>
      <c r="B63">
        <v>0</v>
      </c>
      <c r="C63">
        <v>0</v>
      </c>
      <c r="D63">
        <v>1</v>
      </c>
      <c r="E63">
        <v>-1</v>
      </c>
      <c r="F63">
        <v>-1</v>
      </c>
      <c r="G63">
        <v>-1</v>
      </c>
      <c r="H63">
        <v>-1</v>
      </c>
      <c r="P63">
        <f t="shared" si="7"/>
        <v>-2.9074667437634028</v>
      </c>
      <c r="Q63">
        <f t="shared" si="1"/>
        <v>5.4613905795243362E-2</v>
      </c>
      <c r="R63">
        <v>181</v>
      </c>
      <c r="S63">
        <v>182</v>
      </c>
      <c r="T63">
        <v>183</v>
      </c>
      <c r="U63">
        <f t="shared" ca="1" si="8"/>
        <v>8.7764944329027011E-2</v>
      </c>
      <c r="V63">
        <f t="shared" ca="1" si="8"/>
        <v>0.38005561415131528</v>
      </c>
      <c r="W63">
        <f t="shared" ca="1" si="8"/>
        <v>1.7116707737529904</v>
      </c>
      <c r="X63">
        <f t="shared" ca="1" si="9"/>
        <v>4.0268544788886106E-2</v>
      </c>
      <c r="Y63">
        <f t="shared" ca="1" si="11"/>
        <v>0.17437812600147892</v>
      </c>
      <c r="Z63">
        <f t="shared" ca="1" si="3"/>
        <v>0.78535332920963485</v>
      </c>
      <c r="AA63">
        <f t="shared" ca="1" si="10"/>
        <v>0</v>
      </c>
      <c r="AB63">
        <f t="shared" ca="1" si="10"/>
        <v>0</v>
      </c>
      <c r="AC63">
        <f t="shared" ca="1" si="10"/>
        <v>1</v>
      </c>
      <c r="AD63">
        <f t="shared" ca="1" si="5"/>
        <v>0</v>
      </c>
      <c r="AE63">
        <f t="shared" ca="1" si="5"/>
        <v>0</v>
      </c>
      <c r="AF63">
        <f t="shared" ca="1" si="5"/>
        <v>-0.24162156156076189</v>
      </c>
    </row>
    <row r="64" spans="1:32" x14ac:dyDescent="0.25">
      <c r="A64">
        <v>209</v>
      </c>
      <c r="B64">
        <v>0</v>
      </c>
      <c r="C64">
        <v>0</v>
      </c>
      <c r="D64">
        <v>1</v>
      </c>
      <c r="E64">
        <v>-1</v>
      </c>
      <c r="F64">
        <v>1</v>
      </c>
      <c r="G64">
        <v>-1</v>
      </c>
      <c r="H64">
        <v>-1</v>
      </c>
      <c r="P64">
        <f t="shared" si="7"/>
        <v>-2.4330931253926411</v>
      </c>
      <c r="Q64">
        <f t="shared" si="1"/>
        <v>8.7764944329027011E-2</v>
      </c>
      <c r="R64">
        <v>184</v>
      </c>
      <c r="S64">
        <v>185</v>
      </c>
      <c r="T64">
        <v>186</v>
      </c>
      <c r="U64">
        <f t="shared" ca="1" si="8"/>
        <v>0.17225309005907632</v>
      </c>
      <c r="V64">
        <f t="shared" ca="1" si="8"/>
        <v>7.2142796641606211</v>
      </c>
      <c r="W64">
        <f t="shared" ca="1" si="8"/>
        <v>11.751342512917736</v>
      </c>
      <c r="X64">
        <f t="shared" ca="1" si="9"/>
        <v>9.000638140580863E-3</v>
      </c>
      <c r="Y64">
        <f t="shared" ca="1" si="11"/>
        <v>0.37696345928999803</v>
      </c>
      <c r="Z64">
        <f t="shared" ca="1" si="3"/>
        <v>0.6140359025694212</v>
      </c>
      <c r="AA64">
        <f t="shared" ca="1" si="10"/>
        <v>0</v>
      </c>
      <c r="AB64">
        <f t="shared" ca="1" si="10"/>
        <v>0</v>
      </c>
      <c r="AC64">
        <f t="shared" ca="1" si="10"/>
        <v>1</v>
      </c>
      <c r="AD64">
        <f t="shared" ca="1" si="5"/>
        <v>0</v>
      </c>
      <c r="AE64">
        <f t="shared" ca="1" si="5"/>
        <v>0</v>
      </c>
      <c r="AF64">
        <f t="shared" ca="1" si="5"/>
        <v>-0.48770187930438819</v>
      </c>
    </row>
    <row r="65" spans="1:32" x14ac:dyDescent="0.25">
      <c r="A65">
        <v>209</v>
      </c>
      <c r="B65">
        <v>1</v>
      </c>
      <c r="C65">
        <v>0</v>
      </c>
      <c r="D65">
        <v>1</v>
      </c>
      <c r="E65">
        <v>1</v>
      </c>
      <c r="F65">
        <v>-1</v>
      </c>
      <c r="G65">
        <v>0</v>
      </c>
      <c r="H65">
        <v>1</v>
      </c>
      <c r="P65">
        <f t="shared" si="7"/>
        <v>-1.7587904298642194</v>
      </c>
      <c r="Q65">
        <f t="shared" si="1"/>
        <v>0.17225309005907632</v>
      </c>
      <c r="R65">
        <v>187</v>
      </c>
      <c r="S65">
        <v>188</v>
      </c>
      <c r="T65">
        <v>189</v>
      </c>
      <c r="U65">
        <f t="shared" ca="1" si="8"/>
        <v>7.2142796641606211</v>
      </c>
      <c r="V65">
        <f t="shared" ca="1" si="8"/>
        <v>1.2374814257516533</v>
      </c>
      <c r="W65">
        <f t="shared" ca="1" si="8"/>
        <v>0.38005561415131528</v>
      </c>
      <c r="X65">
        <f t="shared" ca="1" si="9"/>
        <v>0.81685115372030681</v>
      </c>
      <c r="Y65">
        <f t="shared" ca="1" si="11"/>
        <v>0.14011629398765468</v>
      </c>
      <c r="Z65">
        <f t="shared" ca="1" si="3"/>
        <v>4.3032552292038471E-2</v>
      </c>
      <c r="AA65">
        <f t="shared" ca="1" si="10"/>
        <v>1</v>
      </c>
      <c r="AB65">
        <f t="shared" ca="1" si="10"/>
        <v>0</v>
      </c>
      <c r="AC65">
        <f t="shared" ca="1" si="10"/>
        <v>0</v>
      </c>
      <c r="AD65">
        <f t="shared" ca="1" si="5"/>
        <v>-0.20229838710894363</v>
      </c>
      <c r="AE65">
        <f t="shared" ca="1" si="5"/>
        <v>0</v>
      </c>
      <c r="AF65">
        <f t="shared" ca="1" si="5"/>
        <v>0</v>
      </c>
    </row>
    <row r="66" spans="1:32" x14ac:dyDescent="0.25">
      <c r="A66">
        <v>210</v>
      </c>
      <c r="B66">
        <v>0</v>
      </c>
      <c r="C66">
        <v>0</v>
      </c>
      <c r="D66">
        <v>1</v>
      </c>
      <c r="E66">
        <v>1</v>
      </c>
      <c r="F66">
        <v>1</v>
      </c>
      <c r="G66">
        <v>1</v>
      </c>
      <c r="H66">
        <v>0</v>
      </c>
      <c r="P66">
        <f t="shared" si="7"/>
        <v>0.53746995417573973</v>
      </c>
      <c r="Q66">
        <f t="shared" si="1"/>
        <v>1.7116707737529904</v>
      </c>
      <c r="R66">
        <v>190</v>
      </c>
      <c r="S66">
        <v>191</v>
      </c>
      <c r="T66">
        <v>192</v>
      </c>
      <c r="U66">
        <f t="shared" ca="1" si="8"/>
        <v>0.38005561415131528</v>
      </c>
      <c r="V66">
        <f t="shared" ca="1" si="8"/>
        <v>0.63910087950999117</v>
      </c>
      <c r="W66">
        <f t="shared" ca="1" si="8"/>
        <v>7.2142796641606211</v>
      </c>
      <c r="X66">
        <f t="shared" ca="1" si="9"/>
        <v>4.6160024425555897E-2</v>
      </c>
      <c r="Y66">
        <f t="shared" ca="1" si="11"/>
        <v>7.7622619190753389E-2</v>
      </c>
      <c r="Z66">
        <f t="shared" ca="1" si="3"/>
        <v>0.87621735638369069</v>
      </c>
      <c r="AA66">
        <f t="shared" ca="1" si="10"/>
        <v>0</v>
      </c>
      <c r="AB66">
        <f t="shared" ca="1" si="10"/>
        <v>0</v>
      </c>
      <c r="AC66">
        <f t="shared" ca="1" si="10"/>
        <v>1</v>
      </c>
      <c r="AD66">
        <f t="shared" ca="1" si="5"/>
        <v>0</v>
      </c>
      <c r="AE66">
        <f t="shared" ca="1" si="5"/>
        <v>0</v>
      </c>
      <c r="AF66">
        <f t="shared" ca="1" si="5"/>
        <v>-0.13214109509767194</v>
      </c>
    </row>
    <row r="67" spans="1:32" x14ac:dyDescent="0.25">
      <c r="A67">
        <v>210</v>
      </c>
      <c r="B67">
        <v>1</v>
      </c>
      <c r="C67">
        <v>-1</v>
      </c>
      <c r="D67">
        <v>-1</v>
      </c>
      <c r="E67">
        <v>-1</v>
      </c>
      <c r="F67">
        <v>-1</v>
      </c>
      <c r="G67">
        <v>1</v>
      </c>
      <c r="H67">
        <v>0</v>
      </c>
      <c r="P67">
        <f t="shared" si="7"/>
        <v>2.0214334480069271</v>
      </c>
      <c r="Q67">
        <f t="shared" si="1"/>
        <v>7.5491384789895326</v>
      </c>
      <c r="R67">
        <v>193</v>
      </c>
      <c r="S67">
        <v>194</v>
      </c>
      <c r="T67">
        <v>195</v>
      </c>
      <c r="U67">
        <f t="shared" ca="1" si="8"/>
        <v>7.5491384789895326</v>
      </c>
      <c r="V67">
        <f t="shared" ca="1" si="8"/>
        <v>1.7116707737529904</v>
      </c>
      <c r="W67">
        <f t="shared" ca="1" si="8"/>
        <v>1.8748885193273188</v>
      </c>
      <c r="X67">
        <f t="shared" ca="1" si="9"/>
        <v>0.67792235686604319</v>
      </c>
      <c r="Y67">
        <f t="shared" ca="1" si="11"/>
        <v>0.15371023969832781</v>
      </c>
      <c r="Z67">
        <f t="shared" ca="1" si="3"/>
        <v>0.16836740343562906</v>
      </c>
      <c r="AA67">
        <f t="shared" ca="1" si="10"/>
        <v>1</v>
      </c>
      <c r="AB67">
        <f t="shared" ca="1" si="10"/>
        <v>0</v>
      </c>
      <c r="AC67">
        <f t="shared" ca="1" si="10"/>
        <v>0</v>
      </c>
      <c r="AD67">
        <f t="shared" ca="1" si="5"/>
        <v>-0.38872251549610792</v>
      </c>
      <c r="AE67">
        <f t="shared" ca="1" si="5"/>
        <v>0</v>
      </c>
      <c r="AF67">
        <f t="shared" ca="1" si="5"/>
        <v>0</v>
      </c>
    </row>
    <row r="68" spans="1:32" x14ac:dyDescent="0.25">
      <c r="A68">
        <v>210</v>
      </c>
      <c r="B68">
        <v>0</v>
      </c>
      <c r="C68">
        <v>-1</v>
      </c>
      <c r="D68">
        <v>-1</v>
      </c>
      <c r="E68">
        <v>-1</v>
      </c>
      <c r="F68">
        <v>1</v>
      </c>
      <c r="G68">
        <v>0</v>
      </c>
      <c r="H68">
        <v>1</v>
      </c>
      <c r="P68">
        <f t="shared" si="7"/>
        <v>0.67392030070849041</v>
      </c>
      <c r="Q68">
        <f t="shared" ref="Q68:Q131" si="13">EXP(P68)</f>
        <v>1.9619135553315648</v>
      </c>
      <c r="R68">
        <v>196</v>
      </c>
      <c r="S68">
        <v>197</v>
      </c>
      <c r="T68">
        <v>198</v>
      </c>
      <c r="U68">
        <f t="shared" ca="1" si="8"/>
        <v>1.8748885193273188</v>
      </c>
      <c r="V68">
        <f t="shared" ca="1" si="8"/>
        <v>0.17225309005907632</v>
      </c>
      <c r="W68">
        <f t="shared" ca="1" si="8"/>
        <v>8.7764944329027011E-2</v>
      </c>
      <c r="X68">
        <f t="shared" ca="1" si="9"/>
        <v>0.87820636273958297</v>
      </c>
      <c r="Y68">
        <f t="shared" ca="1" si="11"/>
        <v>8.0684135687016711E-2</v>
      </c>
      <c r="Z68">
        <f t="shared" ref="Z68:Z122" ca="1" si="14">W68/SUM($U68:$W68)</f>
        <v>4.1109501573400424E-2</v>
      </c>
      <c r="AA68">
        <f t="shared" ca="1" si="10"/>
        <v>1</v>
      </c>
      <c r="AB68">
        <f t="shared" ca="1" si="10"/>
        <v>0</v>
      </c>
      <c r="AC68">
        <f t="shared" ca="1" si="10"/>
        <v>0</v>
      </c>
      <c r="AD68">
        <f t="shared" ref="AD68:AF122" ca="1" si="15">LN(X68)*AA68</f>
        <v>-0.12987367567513783</v>
      </c>
      <c r="AE68">
        <f t="shared" ca="1" si="15"/>
        <v>0</v>
      </c>
      <c r="AF68">
        <f t="shared" ca="1" si="15"/>
        <v>0</v>
      </c>
    </row>
    <row r="69" spans="1:32" x14ac:dyDescent="0.25">
      <c r="A69">
        <v>211</v>
      </c>
      <c r="B69">
        <v>0</v>
      </c>
      <c r="C69">
        <v>-1</v>
      </c>
      <c r="D69">
        <v>-1</v>
      </c>
      <c r="E69">
        <v>1</v>
      </c>
      <c r="F69">
        <v>-1</v>
      </c>
      <c r="G69">
        <v>0</v>
      </c>
      <c r="H69">
        <v>1</v>
      </c>
      <c r="P69">
        <f t="shared" ref="P69:P132" si="16">SUMPRODUCT(C69:H69,$J$3:$O$3)</f>
        <v>0.21307820585445134</v>
      </c>
      <c r="Q69">
        <f t="shared" si="13"/>
        <v>1.2374814257516533</v>
      </c>
      <c r="R69">
        <v>199</v>
      </c>
      <c r="S69">
        <v>200</v>
      </c>
      <c r="T69">
        <v>201</v>
      </c>
      <c r="U69">
        <f t="shared" ref="U69:W122" ca="1" si="17">OFFSET($Q$2,R69,0)</f>
        <v>1.9619135553315648</v>
      </c>
      <c r="V69">
        <f t="shared" ca="1" si="17"/>
        <v>5.4613905795243362E-2</v>
      </c>
      <c r="W69">
        <f t="shared" ca="1" si="17"/>
        <v>0.63910087950999117</v>
      </c>
      <c r="X69">
        <f t="shared" ref="X69:X122" ca="1" si="18">U69/SUM($U69:$W69)</f>
        <v>0.73877565068503259</v>
      </c>
      <c r="Y69">
        <f t="shared" ca="1" si="11"/>
        <v>2.0565342280594642E-2</v>
      </c>
      <c r="Z69">
        <f t="shared" ca="1" si="14"/>
        <v>0.24065900703437276</v>
      </c>
      <c r="AA69">
        <f t="shared" ca="1" si="10"/>
        <v>1</v>
      </c>
      <c r="AB69">
        <f t="shared" ca="1" si="10"/>
        <v>0</v>
      </c>
      <c r="AC69">
        <f t="shared" ca="1" si="10"/>
        <v>0</v>
      </c>
      <c r="AD69">
        <f t="shared" ca="1" si="15"/>
        <v>-0.30276098912514593</v>
      </c>
      <c r="AE69">
        <f t="shared" ca="1" si="15"/>
        <v>0</v>
      </c>
      <c r="AF69">
        <f t="shared" ca="1" si="15"/>
        <v>0</v>
      </c>
    </row>
    <row r="70" spans="1:32" x14ac:dyDescent="0.25">
      <c r="A70">
        <v>211</v>
      </c>
      <c r="B70">
        <v>1</v>
      </c>
      <c r="C70">
        <v>-1</v>
      </c>
      <c r="D70">
        <v>-1</v>
      </c>
      <c r="E70">
        <v>-1</v>
      </c>
      <c r="F70">
        <v>1</v>
      </c>
      <c r="G70">
        <v>0</v>
      </c>
      <c r="H70">
        <v>1</v>
      </c>
      <c r="P70">
        <f t="shared" si="16"/>
        <v>0.67392030070849041</v>
      </c>
      <c r="Q70">
        <f t="shared" si="13"/>
        <v>1.9619135553315648</v>
      </c>
      <c r="R70">
        <v>202</v>
      </c>
      <c r="S70">
        <v>203</v>
      </c>
      <c r="T70">
        <v>204</v>
      </c>
      <c r="U70">
        <f t="shared" ca="1" si="17"/>
        <v>11.751342512917736</v>
      </c>
      <c r="V70">
        <f t="shared" ca="1" si="17"/>
        <v>1.8748885193273188</v>
      </c>
      <c r="W70">
        <f t="shared" ca="1" si="17"/>
        <v>7.5491384789895326</v>
      </c>
      <c r="X70">
        <f t="shared" ca="1" si="18"/>
        <v>0.55495336252257899</v>
      </c>
      <c r="Y70">
        <f t="shared" ca="1" si="11"/>
        <v>8.8541006017986937E-2</v>
      </c>
      <c r="Z70">
        <f t="shared" ca="1" si="14"/>
        <v>0.35650563145943398</v>
      </c>
      <c r="AA70">
        <f t="shared" ref="AA70:AC122" ca="1" si="19">OFFSET($B$2,R70,0)</f>
        <v>1</v>
      </c>
      <c r="AB70">
        <f t="shared" ca="1" si="19"/>
        <v>0</v>
      </c>
      <c r="AC70">
        <f t="shared" ca="1" si="19"/>
        <v>0</v>
      </c>
      <c r="AD70">
        <f t="shared" ca="1" si="15"/>
        <v>-0.5888712002573947</v>
      </c>
      <c r="AE70">
        <f t="shared" ca="1" si="15"/>
        <v>0</v>
      </c>
      <c r="AF70">
        <f t="shared" ca="1" si="15"/>
        <v>0</v>
      </c>
    </row>
    <row r="71" spans="1:32" x14ac:dyDescent="0.25">
      <c r="A71">
        <v>211</v>
      </c>
      <c r="B71">
        <v>0</v>
      </c>
      <c r="C71">
        <v>0</v>
      </c>
      <c r="D71">
        <v>1</v>
      </c>
      <c r="E71">
        <v>-1</v>
      </c>
      <c r="F71">
        <v>-1</v>
      </c>
      <c r="G71">
        <v>-1</v>
      </c>
      <c r="H71">
        <v>-1</v>
      </c>
      <c r="P71">
        <f t="shared" si="16"/>
        <v>-2.9074667437634028</v>
      </c>
      <c r="Q71">
        <f t="shared" si="13"/>
        <v>5.4613905795243362E-2</v>
      </c>
      <c r="R71">
        <v>205</v>
      </c>
      <c r="S71">
        <v>206</v>
      </c>
      <c r="T71">
        <v>207</v>
      </c>
      <c r="U71">
        <f t="shared" ca="1" si="17"/>
        <v>5.4613905795243362E-2</v>
      </c>
      <c r="V71">
        <f t="shared" ca="1" si="17"/>
        <v>8.7764944329027011E-2</v>
      </c>
      <c r="W71">
        <f t="shared" ca="1" si="17"/>
        <v>0.17225309005907632</v>
      </c>
      <c r="X71">
        <f t="shared" ca="1" si="18"/>
        <v>0.17358029754836074</v>
      </c>
      <c r="Y71">
        <f t="shared" ca="1" si="11"/>
        <v>0.27894480222790918</v>
      </c>
      <c r="Z71">
        <f t="shared" ca="1" si="14"/>
        <v>0.54747490022373002</v>
      </c>
      <c r="AA71">
        <f t="shared" ca="1" si="19"/>
        <v>0</v>
      </c>
      <c r="AB71">
        <f t="shared" ca="1" si="19"/>
        <v>0</v>
      </c>
      <c r="AC71">
        <f t="shared" ca="1" si="19"/>
        <v>1</v>
      </c>
      <c r="AD71">
        <f t="shared" ca="1" si="15"/>
        <v>0</v>
      </c>
      <c r="AE71">
        <f t="shared" ca="1" si="15"/>
        <v>0</v>
      </c>
      <c r="AF71">
        <f t="shared" ca="1" si="15"/>
        <v>-0.60243866268258417</v>
      </c>
    </row>
    <row r="72" spans="1:32" x14ac:dyDescent="0.25">
      <c r="A72">
        <v>212</v>
      </c>
      <c r="B72">
        <v>0</v>
      </c>
      <c r="C72">
        <v>-1</v>
      </c>
      <c r="D72">
        <v>-1</v>
      </c>
      <c r="E72">
        <v>1</v>
      </c>
      <c r="F72">
        <v>1</v>
      </c>
      <c r="G72">
        <v>-1</v>
      </c>
      <c r="H72">
        <v>-1</v>
      </c>
      <c r="P72">
        <f t="shared" si="16"/>
        <v>-0.44769296615724818</v>
      </c>
      <c r="Q72">
        <f t="shared" si="13"/>
        <v>0.63910087950999117</v>
      </c>
      <c r="R72">
        <v>208</v>
      </c>
      <c r="S72">
        <v>209</v>
      </c>
      <c r="T72">
        <v>210</v>
      </c>
      <c r="U72">
        <f t="shared" ca="1" si="17"/>
        <v>1.7116707737529904</v>
      </c>
      <c r="V72">
        <f t="shared" ca="1" si="17"/>
        <v>7.5491384789895326</v>
      </c>
      <c r="W72">
        <f t="shared" ca="1" si="17"/>
        <v>1.9619135553315648</v>
      </c>
      <c r="X72">
        <f t="shared" ca="1" si="18"/>
        <v>0.15251831512060016</v>
      </c>
      <c r="Y72">
        <f t="shared" ca="1" si="11"/>
        <v>0.67266550266735381</v>
      </c>
      <c r="Z72">
        <f t="shared" ca="1" si="14"/>
        <v>0.17481618221204606</v>
      </c>
      <c r="AA72">
        <f t="shared" ca="1" si="19"/>
        <v>0</v>
      </c>
      <c r="AB72">
        <f t="shared" ca="1" si="19"/>
        <v>1</v>
      </c>
      <c r="AC72">
        <f t="shared" ca="1" si="19"/>
        <v>0</v>
      </c>
      <c r="AD72">
        <f t="shared" ca="1" si="15"/>
        <v>0</v>
      </c>
      <c r="AE72">
        <f t="shared" ca="1" si="15"/>
        <v>-0.39650709716333266</v>
      </c>
      <c r="AF72">
        <f t="shared" ca="1" si="15"/>
        <v>0</v>
      </c>
    </row>
    <row r="73" spans="1:32" x14ac:dyDescent="0.25">
      <c r="A73">
        <v>212</v>
      </c>
      <c r="B73">
        <v>1</v>
      </c>
      <c r="C73">
        <v>1</v>
      </c>
      <c r="D73">
        <v>0</v>
      </c>
      <c r="E73">
        <v>1</v>
      </c>
      <c r="F73">
        <v>1</v>
      </c>
      <c r="G73">
        <v>1</v>
      </c>
      <c r="H73">
        <v>0</v>
      </c>
      <c r="P73">
        <f t="shared" si="16"/>
        <v>2.4639674904819313</v>
      </c>
      <c r="Q73">
        <f t="shared" si="13"/>
        <v>11.751342512917736</v>
      </c>
      <c r="R73">
        <v>211</v>
      </c>
      <c r="S73">
        <v>212</v>
      </c>
      <c r="T73">
        <v>213</v>
      </c>
      <c r="U73">
        <f t="shared" ca="1" si="17"/>
        <v>1.2374814257516533</v>
      </c>
      <c r="V73">
        <f t="shared" ca="1" si="17"/>
        <v>1.9619135553315648</v>
      </c>
      <c r="W73">
        <f t="shared" ca="1" si="17"/>
        <v>5.4613905795243362E-2</v>
      </c>
      <c r="X73">
        <f t="shared" ca="1" si="18"/>
        <v>0.38029442105757644</v>
      </c>
      <c r="Y73">
        <f t="shared" ca="1" si="11"/>
        <v>0.60292200283866126</v>
      </c>
      <c r="Z73">
        <f t="shared" ca="1" si="14"/>
        <v>1.6783576103762254E-2</v>
      </c>
      <c r="AA73">
        <f t="shared" ca="1" si="19"/>
        <v>0</v>
      </c>
      <c r="AB73">
        <f t="shared" ca="1" si="19"/>
        <v>1</v>
      </c>
      <c r="AC73">
        <f t="shared" ca="1" si="19"/>
        <v>0</v>
      </c>
      <c r="AD73">
        <f t="shared" ca="1" si="15"/>
        <v>0</v>
      </c>
      <c r="AE73">
        <f t="shared" ca="1" si="15"/>
        <v>-0.50596743914746023</v>
      </c>
      <c r="AF73">
        <f t="shared" ca="1" si="15"/>
        <v>0</v>
      </c>
    </row>
    <row r="74" spans="1:32" x14ac:dyDescent="0.25">
      <c r="A74">
        <v>212</v>
      </c>
      <c r="B74">
        <v>0</v>
      </c>
      <c r="C74">
        <v>-1</v>
      </c>
      <c r="D74">
        <v>-1</v>
      </c>
      <c r="E74">
        <v>1</v>
      </c>
      <c r="F74">
        <v>-1</v>
      </c>
      <c r="G74">
        <v>0</v>
      </c>
      <c r="H74">
        <v>1</v>
      </c>
      <c r="P74">
        <f t="shared" si="16"/>
        <v>0.21307820585445134</v>
      </c>
      <c r="Q74">
        <f t="shared" si="13"/>
        <v>1.2374814257516533</v>
      </c>
      <c r="R74">
        <v>214</v>
      </c>
      <c r="S74">
        <v>215</v>
      </c>
      <c r="T74">
        <v>216</v>
      </c>
      <c r="U74">
        <f t="shared" ca="1" si="17"/>
        <v>0.63910087950999117</v>
      </c>
      <c r="V74">
        <f t="shared" ca="1" si="17"/>
        <v>11.751342512917736</v>
      </c>
      <c r="W74">
        <f t="shared" ca="1" si="17"/>
        <v>1.2374814257516533</v>
      </c>
      <c r="X74">
        <f t="shared" ca="1" si="18"/>
        <v>4.6896419523641875E-2</v>
      </c>
      <c r="Y74">
        <f t="shared" ca="1" si="11"/>
        <v>0.86229874832019027</v>
      </c>
      <c r="Z74">
        <f t="shared" ca="1" si="14"/>
        <v>9.0804832156167886E-2</v>
      </c>
      <c r="AA74">
        <f t="shared" ca="1" si="19"/>
        <v>0</v>
      </c>
      <c r="AB74">
        <f t="shared" ca="1" si="19"/>
        <v>1</v>
      </c>
      <c r="AC74">
        <f t="shared" ca="1" si="19"/>
        <v>0</v>
      </c>
      <c r="AD74">
        <f t="shared" ca="1" si="15"/>
        <v>0</v>
      </c>
      <c r="AE74">
        <f t="shared" ca="1" si="15"/>
        <v>-0.14815349258447313</v>
      </c>
      <c r="AF74">
        <f t="shared" ca="1" si="15"/>
        <v>0</v>
      </c>
    </row>
    <row r="75" spans="1:32" x14ac:dyDescent="0.25">
      <c r="A75">
        <v>301</v>
      </c>
      <c r="B75">
        <v>0</v>
      </c>
      <c r="C75">
        <v>0</v>
      </c>
      <c r="D75">
        <v>1</v>
      </c>
      <c r="E75">
        <v>-1</v>
      </c>
      <c r="F75">
        <v>1</v>
      </c>
      <c r="G75">
        <v>-1</v>
      </c>
      <c r="H75">
        <v>-1</v>
      </c>
      <c r="P75">
        <f t="shared" si="16"/>
        <v>-2.4330931253926411</v>
      </c>
      <c r="Q75">
        <f t="shared" si="13"/>
        <v>8.7764944329027011E-2</v>
      </c>
      <c r="R75">
        <v>217</v>
      </c>
      <c r="S75">
        <v>218</v>
      </c>
      <c r="T75">
        <v>219</v>
      </c>
      <c r="U75">
        <f t="shared" ca="1" si="17"/>
        <v>8.7764944329027011E-2</v>
      </c>
      <c r="V75">
        <f t="shared" ca="1" si="17"/>
        <v>0.38005561415131528</v>
      </c>
      <c r="W75">
        <f t="shared" ca="1" si="17"/>
        <v>1.7116707737529904</v>
      </c>
      <c r="X75">
        <f t="shared" ca="1" si="18"/>
        <v>4.0268544788886106E-2</v>
      </c>
      <c r="Y75">
        <f t="shared" ca="1" si="11"/>
        <v>0.17437812600147892</v>
      </c>
      <c r="Z75">
        <f t="shared" ca="1" si="14"/>
        <v>0.78535332920963485</v>
      </c>
      <c r="AA75">
        <f t="shared" ca="1" si="19"/>
        <v>0</v>
      </c>
      <c r="AB75">
        <f t="shared" ca="1" si="19"/>
        <v>0</v>
      </c>
      <c r="AC75">
        <f t="shared" ca="1" si="19"/>
        <v>1</v>
      </c>
      <c r="AD75">
        <f t="shared" ca="1" si="15"/>
        <v>0</v>
      </c>
      <c r="AE75">
        <f t="shared" ca="1" si="15"/>
        <v>0</v>
      </c>
      <c r="AF75">
        <f t="shared" ca="1" si="15"/>
        <v>-0.24162156156076189</v>
      </c>
    </row>
    <row r="76" spans="1:32" x14ac:dyDescent="0.25">
      <c r="A76">
        <v>301</v>
      </c>
      <c r="B76">
        <v>0</v>
      </c>
      <c r="C76">
        <v>1</v>
      </c>
      <c r="D76">
        <v>0</v>
      </c>
      <c r="E76">
        <v>1</v>
      </c>
      <c r="F76">
        <v>-1</v>
      </c>
      <c r="G76">
        <v>-1</v>
      </c>
      <c r="H76">
        <v>-1</v>
      </c>
      <c r="P76">
        <f t="shared" si="16"/>
        <v>-0.96743768394048846</v>
      </c>
      <c r="Q76">
        <f t="shared" si="13"/>
        <v>0.38005561415131528</v>
      </c>
      <c r="R76">
        <v>220</v>
      </c>
      <c r="S76">
        <v>221</v>
      </c>
      <c r="T76">
        <v>222</v>
      </c>
      <c r="U76">
        <f t="shared" ca="1" si="17"/>
        <v>0.17225309005907632</v>
      </c>
      <c r="V76">
        <f t="shared" ca="1" si="17"/>
        <v>7.2142796641606211</v>
      </c>
      <c r="W76">
        <f t="shared" ca="1" si="17"/>
        <v>11.751342512917736</v>
      </c>
      <c r="X76">
        <f t="shared" ca="1" si="18"/>
        <v>9.000638140580863E-3</v>
      </c>
      <c r="Y76">
        <f t="shared" ca="1" si="11"/>
        <v>0.37696345928999803</v>
      </c>
      <c r="Z76">
        <f t="shared" ca="1" si="14"/>
        <v>0.6140359025694212</v>
      </c>
      <c r="AA76">
        <f t="shared" ca="1" si="19"/>
        <v>0</v>
      </c>
      <c r="AB76">
        <f t="shared" ca="1" si="19"/>
        <v>0</v>
      </c>
      <c r="AC76">
        <f t="shared" ca="1" si="19"/>
        <v>1</v>
      </c>
      <c r="AD76">
        <f t="shared" ca="1" si="15"/>
        <v>0</v>
      </c>
      <c r="AE76">
        <f t="shared" ca="1" si="15"/>
        <v>0</v>
      </c>
      <c r="AF76">
        <f t="shared" ca="1" si="15"/>
        <v>-0.48770187930438819</v>
      </c>
    </row>
    <row r="77" spans="1:32" x14ac:dyDescent="0.25">
      <c r="A77">
        <v>301</v>
      </c>
      <c r="B77">
        <v>1</v>
      </c>
      <c r="C77">
        <v>0</v>
      </c>
      <c r="D77">
        <v>1</v>
      </c>
      <c r="E77">
        <v>1</v>
      </c>
      <c r="F77">
        <v>1</v>
      </c>
      <c r="G77">
        <v>1</v>
      </c>
      <c r="H77">
        <v>0</v>
      </c>
      <c r="P77">
        <f t="shared" si="16"/>
        <v>0.53746995417573973</v>
      </c>
      <c r="Q77">
        <f t="shared" si="13"/>
        <v>1.7116707737529904</v>
      </c>
      <c r="R77">
        <v>223</v>
      </c>
      <c r="S77">
        <v>224</v>
      </c>
      <c r="T77">
        <v>225</v>
      </c>
      <c r="U77">
        <f t="shared" ca="1" si="17"/>
        <v>7.2142796641606211</v>
      </c>
      <c r="V77">
        <f t="shared" ca="1" si="17"/>
        <v>1.2374814257516533</v>
      </c>
      <c r="W77">
        <f t="shared" ca="1" si="17"/>
        <v>0.38005561415131528</v>
      </c>
      <c r="X77">
        <f t="shared" ca="1" si="18"/>
        <v>0.81685115372030681</v>
      </c>
      <c r="Y77">
        <f t="shared" ca="1" si="11"/>
        <v>0.14011629398765468</v>
      </c>
      <c r="Z77">
        <f t="shared" ca="1" si="14"/>
        <v>4.3032552292038471E-2</v>
      </c>
      <c r="AA77">
        <f t="shared" ca="1" si="19"/>
        <v>1</v>
      </c>
      <c r="AB77">
        <f t="shared" ca="1" si="19"/>
        <v>0</v>
      </c>
      <c r="AC77">
        <f t="shared" ca="1" si="19"/>
        <v>0</v>
      </c>
      <c r="AD77">
        <f t="shared" ca="1" si="15"/>
        <v>-0.20229838710894363</v>
      </c>
      <c r="AE77">
        <f t="shared" ca="1" si="15"/>
        <v>0</v>
      </c>
      <c r="AF77">
        <f t="shared" ca="1" si="15"/>
        <v>0</v>
      </c>
    </row>
    <row r="78" spans="1:32" x14ac:dyDescent="0.25">
      <c r="A78">
        <v>302</v>
      </c>
      <c r="B78">
        <v>0</v>
      </c>
      <c r="C78">
        <v>0</v>
      </c>
      <c r="D78">
        <v>1</v>
      </c>
      <c r="E78">
        <v>1</v>
      </c>
      <c r="F78">
        <v>-1</v>
      </c>
      <c r="G78">
        <v>0</v>
      </c>
      <c r="H78">
        <v>1</v>
      </c>
      <c r="P78">
        <f t="shared" si="16"/>
        <v>-1.7587904298642194</v>
      </c>
      <c r="Q78">
        <f t="shared" si="13"/>
        <v>0.17225309005907632</v>
      </c>
      <c r="R78">
        <v>226</v>
      </c>
      <c r="S78">
        <v>227</v>
      </c>
      <c r="T78">
        <v>228</v>
      </c>
      <c r="U78">
        <f t="shared" ca="1" si="17"/>
        <v>0.38005561415131528</v>
      </c>
      <c r="V78">
        <f t="shared" ca="1" si="17"/>
        <v>0.63910087950999117</v>
      </c>
      <c r="W78">
        <f t="shared" ca="1" si="17"/>
        <v>7.2142796641606211</v>
      </c>
      <c r="X78">
        <f t="shared" ca="1" si="18"/>
        <v>4.6160024425555897E-2</v>
      </c>
      <c r="Y78">
        <f t="shared" ca="1" si="11"/>
        <v>7.7622619190753389E-2</v>
      </c>
      <c r="Z78">
        <f t="shared" ca="1" si="14"/>
        <v>0.87621735638369069</v>
      </c>
      <c r="AA78">
        <f t="shared" ca="1" si="19"/>
        <v>0</v>
      </c>
      <c r="AB78">
        <f t="shared" ca="1" si="19"/>
        <v>0</v>
      </c>
      <c r="AC78">
        <f t="shared" ca="1" si="19"/>
        <v>1</v>
      </c>
      <c r="AD78">
        <f t="shared" ca="1" si="15"/>
        <v>0</v>
      </c>
      <c r="AE78">
        <f t="shared" ca="1" si="15"/>
        <v>0</v>
      </c>
      <c r="AF78">
        <f t="shared" ca="1" si="15"/>
        <v>-0.13214109509767194</v>
      </c>
    </row>
    <row r="79" spans="1:32" x14ac:dyDescent="0.25">
      <c r="A79">
        <v>302</v>
      </c>
      <c r="B79">
        <v>0</v>
      </c>
      <c r="C79">
        <v>1</v>
      </c>
      <c r="D79">
        <v>0</v>
      </c>
      <c r="E79">
        <v>-1</v>
      </c>
      <c r="F79">
        <v>-1</v>
      </c>
      <c r="G79">
        <v>1</v>
      </c>
      <c r="H79">
        <v>0</v>
      </c>
      <c r="P79">
        <f t="shared" si="16"/>
        <v>1.9760623485944482</v>
      </c>
      <c r="Q79">
        <f t="shared" si="13"/>
        <v>7.2142796641606211</v>
      </c>
      <c r="R79">
        <v>229</v>
      </c>
      <c r="S79">
        <v>230</v>
      </c>
      <c r="T79">
        <v>231</v>
      </c>
      <c r="U79">
        <f t="shared" ca="1" si="17"/>
        <v>7.5491384789895326</v>
      </c>
      <c r="V79">
        <f t="shared" ca="1" si="17"/>
        <v>1.7116707737529904</v>
      </c>
      <c r="W79">
        <f t="shared" ca="1" si="17"/>
        <v>1.8748885193273188</v>
      </c>
      <c r="X79">
        <f t="shared" ca="1" si="18"/>
        <v>0.67792235686604319</v>
      </c>
      <c r="Y79">
        <f t="shared" ca="1" si="11"/>
        <v>0.15371023969832781</v>
      </c>
      <c r="Z79">
        <f t="shared" ca="1" si="14"/>
        <v>0.16836740343562906</v>
      </c>
      <c r="AA79">
        <f t="shared" ca="1" si="19"/>
        <v>1</v>
      </c>
      <c r="AB79">
        <f t="shared" ca="1" si="19"/>
        <v>0</v>
      </c>
      <c r="AC79">
        <f t="shared" ca="1" si="19"/>
        <v>0</v>
      </c>
      <c r="AD79">
        <f t="shared" ca="1" si="15"/>
        <v>-0.38872251549610792</v>
      </c>
      <c r="AE79">
        <f t="shared" ca="1" si="15"/>
        <v>0</v>
      </c>
      <c r="AF79">
        <f t="shared" ca="1" si="15"/>
        <v>0</v>
      </c>
    </row>
    <row r="80" spans="1:32" x14ac:dyDescent="0.25">
      <c r="A80">
        <v>302</v>
      </c>
      <c r="B80">
        <v>1</v>
      </c>
      <c r="C80">
        <v>1</v>
      </c>
      <c r="D80">
        <v>0</v>
      </c>
      <c r="E80">
        <v>1</v>
      </c>
      <c r="F80">
        <v>1</v>
      </c>
      <c r="G80">
        <v>1</v>
      </c>
      <c r="H80">
        <v>0</v>
      </c>
      <c r="P80">
        <f t="shared" si="16"/>
        <v>2.4639674904819313</v>
      </c>
      <c r="Q80">
        <f t="shared" si="13"/>
        <v>11.751342512917736</v>
      </c>
      <c r="R80">
        <v>232</v>
      </c>
      <c r="S80">
        <v>233</v>
      </c>
      <c r="T80">
        <v>234</v>
      </c>
      <c r="U80">
        <f t="shared" ca="1" si="17"/>
        <v>1.8748885193273188</v>
      </c>
      <c r="V80">
        <f t="shared" ca="1" si="17"/>
        <v>0.17225309005907632</v>
      </c>
      <c r="W80">
        <f t="shared" ca="1" si="17"/>
        <v>8.7764944329027011E-2</v>
      </c>
      <c r="X80">
        <f t="shared" ca="1" si="18"/>
        <v>0.87820636273958297</v>
      </c>
      <c r="Y80">
        <f t="shared" ca="1" si="11"/>
        <v>8.0684135687016711E-2</v>
      </c>
      <c r="Z80">
        <f t="shared" ca="1" si="14"/>
        <v>4.1109501573400424E-2</v>
      </c>
      <c r="AA80">
        <f t="shared" ca="1" si="19"/>
        <v>1</v>
      </c>
      <c r="AB80">
        <f t="shared" ca="1" si="19"/>
        <v>0</v>
      </c>
      <c r="AC80">
        <f t="shared" ca="1" si="19"/>
        <v>0</v>
      </c>
      <c r="AD80">
        <f t="shared" ca="1" si="15"/>
        <v>-0.12987367567513783</v>
      </c>
      <c r="AE80">
        <f t="shared" ca="1" si="15"/>
        <v>0</v>
      </c>
      <c r="AF80">
        <f t="shared" ca="1" si="15"/>
        <v>0</v>
      </c>
    </row>
    <row r="81" spans="1:32" x14ac:dyDescent="0.25">
      <c r="A81">
        <v>303</v>
      </c>
      <c r="B81">
        <v>1</v>
      </c>
      <c r="C81">
        <v>1</v>
      </c>
      <c r="D81">
        <v>0</v>
      </c>
      <c r="E81">
        <v>-1</v>
      </c>
      <c r="F81">
        <v>-1</v>
      </c>
      <c r="G81">
        <v>1</v>
      </c>
      <c r="H81">
        <v>0</v>
      </c>
      <c r="P81">
        <f t="shared" si="16"/>
        <v>1.9760623485944482</v>
      </c>
      <c r="Q81">
        <f t="shared" si="13"/>
        <v>7.2142796641606211</v>
      </c>
      <c r="R81">
        <v>235</v>
      </c>
      <c r="S81">
        <v>236</v>
      </c>
      <c r="T81">
        <v>237</v>
      </c>
      <c r="U81">
        <f t="shared" ca="1" si="17"/>
        <v>1.9619135553315648</v>
      </c>
      <c r="V81">
        <f t="shared" ca="1" si="17"/>
        <v>5.4613905795243362E-2</v>
      </c>
      <c r="W81">
        <f t="shared" ca="1" si="17"/>
        <v>0.63910087950999117</v>
      </c>
      <c r="X81">
        <f t="shared" ca="1" si="18"/>
        <v>0.73877565068503259</v>
      </c>
      <c r="Y81">
        <f t="shared" ca="1" si="11"/>
        <v>2.0565342280594642E-2</v>
      </c>
      <c r="Z81">
        <f t="shared" ca="1" si="14"/>
        <v>0.24065900703437276</v>
      </c>
      <c r="AA81">
        <f t="shared" ca="1" si="19"/>
        <v>1</v>
      </c>
      <c r="AB81">
        <f t="shared" ca="1" si="19"/>
        <v>0</v>
      </c>
      <c r="AC81">
        <f t="shared" ca="1" si="19"/>
        <v>0</v>
      </c>
      <c r="AD81">
        <f t="shared" ca="1" si="15"/>
        <v>-0.30276098912514593</v>
      </c>
      <c r="AE81">
        <f t="shared" ca="1" si="15"/>
        <v>0</v>
      </c>
      <c r="AF81">
        <f t="shared" ca="1" si="15"/>
        <v>0</v>
      </c>
    </row>
    <row r="82" spans="1:32" x14ac:dyDescent="0.25">
      <c r="A82">
        <v>303</v>
      </c>
      <c r="B82">
        <v>0</v>
      </c>
      <c r="C82">
        <v>-1</v>
      </c>
      <c r="D82">
        <v>-1</v>
      </c>
      <c r="E82">
        <v>1</v>
      </c>
      <c r="F82">
        <v>-1</v>
      </c>
      <c r="G82">
        <v>0</v>
      </c>
      <c r="H82">
        <v>1</v>
      </c>
      <c r="P82">
        <f t="shared" si="16"/>
        <v>0.21307820585445134</v>
      </c>
      <c r="Q82">
        <f t="shared" si="13"/>
        <v>1.2374814257516533</v>
      </c>
      <c r="R82">
        <v>238</v>
      </c>
      <c r="S82">
        <v>239</v>
      </c>
      <c r="T82">
        <v>240</v>
      </c>
      <c r="U82">
        <f t="shared" ca="1" si="17"/>
        <v>11.751342512917736</v>
      </c>
      <c r="V82">
        <f t="shared" ca="1" si="17"/>
        <v>1.8748885193273188</v>
      </c>
      <c r="W82">
        <f t="shared" ca="1" si="17"/>
        <v>7.5491384789895326</v>
      </c>
      <c r="X82">
        <f t="shared" ca="1" si="18"/>
        <v>0.55495336252257899</v>
      </c>
      <c r="Y82">
        <f t="shared" ca="1" si="11"/>
        <v>8.8541006017986937E-2</v>
      </c>
      <c r="Z82">
        <f t="shared" ca="1" si="14"/>
        <v>0.35650563145943398</v>
      </c>
      <c r="AA82">
        <f t="shared" ca="1" si="19"/>
        <v>1</v>
      </c>
      <c r="AB82">
        <f t="shared" ca="1" si="19"/>
        <v>0</v>
      </c>
      <c r="AC82">
        <f t="shared" ca="1" si="19"/>
        <v>0</v>
      </c>
      <c r="AD82">
        <f t="shared" ca="1" si="15"/>
        <v>-0.5888712002573947</v>
      </c>
      <c r="AE82">
        <f t="shared" ca="1" si="15"/>
        <v>0</v>
      </c>
      <c r="AF82">
        <f t="shared" ca="1" si="15"/>
        <v>0</v>
      </c>
    </row>
    <row r="83" spans="1:32" x14ac:dyDescent="0.25">
      <c r="A83">
        <v>303</v>
      </c>
      <c r="B83">
        <v>0</v>
      </c>
      <c r="C83">
        <v>1</v>
      </c>
      <c r="D83">
        <v>0</v>
      </c>
      <c r="E83">
        <v>1</v>
      </c>
      <c r="F83">
        <v>-1</v>
      </c>
      <c r="G83">
        <v>-1</v>
      </c>
      <c r="H83">
        <v>-1</v>
      </c>
      <c r="P83">
        <f t="shared" si="16"/>
        <v>-0.96743768394048846</v>
      </c>
      <c r="Q83">
        <f t="shared" si="13"/>
        <v>0.38005561415131528</v>
      </c>
      <c r="R83">
        <v>241</v>
      </c>
      <c r="S83">
        <v>242</v>
      </c>
      <c r="T83">
        <v>243</v>
      </c>
      <c r="U83">
        <f t="shared" ca="1" si="17"/>
        <v>5.4613905795243362E-2</v>
      </c>
      <c r="V83">
        <f t="shared" ca="1" si="17"/>
        <v>8.7764944329027011E-2</v>
      </c>
      <c r="W83">
        <f t="shared" ca="1" si="17"/>
        <v>0.17225309005907632</v>
      </c>
      <c r="X83">
        <f t="shared" ca="1" si="18"/>
        <v>0.17358029754836074</v>
      </c>
      <c r="Y83">
        <f t="shared" ref="Y83:Y122" ca="1" si="20">V83/SUM($U83:$W83)</f>
        <v>0.27894480222790918</v>
      </c>
      <c r="Z83">
        <f t="shared" ca="1" si="14"/>
        <v>0.54747490022373002</v>
      </c>
      <c r="AA83">
        <f t="shared" ca="1" si="19"/>
        <v>0</v>
      </c>
      <c r="AB83">
        <f t="shared" ca="1" si="19"/>
        <v>0</v>
      </c>
      <c r="AC83">
        <f t="shared" ca="1" si="19"/>
        <v>1</v>
      </c>
      <c r="AD83">
        <f t="shared" ca="1" si="15"/>
        <v>0</v>
      </c>
      <c r="AE83">
        <f t="shared" ca="1" si="15"/>
        <v>0</v>
      </c>
      <c r="AF83">
        <f t="shared" ca="1" si="15"/>
        <v>-0.60243866268258417</v>
      </c>
    </row>
    <row r="84" spans="1:32" x14ac:dyDescent="0.25">
      <c r="A84">
        <v>304</v>
      </c>
      <c r="B84">
        <v>0</v>
      </c>
      <c r="C84">
        <v>1</v>
      </c>
      <c r="D84">
        <v>0</v>
      </c>
      <c r="E84">
        <v>1</v>
      </c>
      <c r="F84">
        <v>-1</v>
      </c>
      <c r="G84">
        <v>-1</v>
      </c>
      <c r="H84">
        <v>-1</v>
      </c>
      <c r="P84">
        <f t="shared" si="16"/>
        <v>-0.96743768394048846</v>
      </c>
      <c r="Q84">
        <f t="shared" si="13"/>
        <v>0.38005561415131528</v>
      </c>
      <c r="R84">
        <v>244</v>
      </c>
      <c r="S84">
        <v>245</v>
      </c>
      <c r="T84">
        <v>246</v>
      </c>
      <c r="U84">
        <f t="shared" ca="1" si="17"/>
        <v>1.7116707737529904</v>
      </c>
      <c r="V84">
        <f t="shared" ca="1" si="17"/>
        <v>7.5491384789895326</v>
      </c>
      <c r="W84">
        <f t="shared" ca="1" si="17"/>
        <v>1.9619135553315648</v>
      </c>
      <c r="X84">
        <f t="shared" ca="1" si="18"/>
        <v>0.15251831512060016</v>
      </c>
      <c r="Y84">
        <f t="shared" ca="1" si="20"/>
        <v>0.67266550266735381</v>
      </c>
      <c r="Z84">
        <f t="shared" ca="1" si="14"/>
        <v>0.17481618221204606</v>
      </c>
      <c r="AA84">
        <f t="shared" ca="1" si="19"/>
        <v>0</v>
      </c>
      <c r="AB84">
        <f t="shared" ca="1" si="19"/>
        <v>1</v>
      </c>
      <c r="AC84">
        <f t="shared" ca="1" si="19"/>
        <v>0</v>
      </c>
      <c r="AD84">
        <f t="shared" ca="1" si="15"/>
        <v>0</v>
      </c>
      <c r="AE84">
        <f t="shared" ca="1" si="15"/>
        <v>-0.39650709716333266</v>
      </c>
      <c r="AF84">
        <f t="shared" ca="1" si="15"/>
        <v>0</v>
      </c>
    </row>
    <row r="85" spans="1:32" x14ac:dyDescent="0.25">
      <c r="A85">
        <v>304</v>
      </c>
      <c r="B85">
        <v>0</v>
      </c>
      <c r="C85">
        <v>-1</v>
      </c>
      <c r="D85">
        <v>-1</v>
      </c>
      <c r="E85">
        <v>1</v>
      </c>
      <c r="F85">
        <v>1</v>
      </c>
      <c r="G85">
        <v>-1</v>
      </c>
      <c r="H85">
        <v>-1</v>
      </c>
      <c r="P85">
        <f t="shared" si="16"/>
        <v>-0.44769296615724818</v>
      </c>
      <c r="Q85">
        <f t="shared" si="13"/>
        <v>0.63910087950999117</v>
      </c>
      <c r="R85">
        <v>247</v>
      </c>
      <c r="S85">
        <v>248</v>
      </c>
      <c r="T85">
        <v>249</v>
      </c>
      <c r="U85">
        <f t="shared" ca="1" si="17"/>
        <v>1.2374814257516533</v>
      </c>
      <c r="V85">
        <f t="shared" ca="1" si="17"/>
        <v>1.9619135553315648</v>
      </c>
      <c r="W85">
        <f t="shared" ca="1" si="17"/>
        <v>5.4613905795243362E-2</v>
      </c>
      <c r="X85">
        <f t="shared" ca="1" si="18"/>
        <v>0.38029442105757644</v>
      </c>
      <c r="Y85">
        <f t="shared" ca="1" si="20"/>
        <v>0.60292200283866126</v>
      </c>
      <c r="Z85">
        <f t="shared" ca="1" si="14"/>
        <v>1.6783576103762254E-2</v>
      </c>
      <c r="AA85">
        <f t="shared" ca="1" si="19"/>
        <v>0</v>
      </c>
      <c r="AB85">
        <f t="shared" ca="1" si="19"/>
        <v>1</v>
      </c>
      <c r="AC85">
        <f t="shared" ca="1" si="19"/>
        <v>0</v>
      </c>
      <c r="AD85">
        <f t="shared" ca="1" si="15"/>
        <v>0</v>
      </c>
      <c r="AE85">
        <f t="shared" ca="1" si="15"/>
        <v>-0.50596743914746023</v>
      </c>
      <c r="AF85">
        <f t="shared" ca="1" si="15"/>
        <v>0</v>
      </c>
    </row>
    <row r="86" spans="1:32" x14ac:dyDescent="0.25">
      <c r="A86">
        <v>304</v>
      </c>
      <c r="B86">
        <v>1</v>
      </c>
      <c r="C86">
        <v>1</v>
      </c>
      <c r="D86">
        <v>0</v>
      </c>
      <c r="E86">
        <v>-1</v>
      </c>
      <c r="F86">
        <v>-1</v>
      </c>
      <c r="G86">
        <v>1</v>
      </c>
      <c r="H86">
        <v>0</v>
      </c>
      <c r="P86">
        <f t="shared" si="16"/>
        <v>1.9760623485944482</v>
      </c>
      <c r="Q86">
        <f t="shared" si="13"/>
        <v>7.2142796641606211</v>
      </c>
      <c r="R86">
        <v>250</v>
      </c>
      <c r="S86">
        <v>251</v>
      </c>
      <c r="T86">
        <v>252</v>
      </c>
      <c r="U86">
        <f t="shared" ca="1" si="17"/>
        <v>0.63910087950999117</v>
      </c>
      <c r="V86">
        <f t="shared" ca="1" si="17"/>
        <v>11.751342512917736</v>
      </c>
      <c r="W86">
        <f t="shared" ca="1" si="17"/>
        <v>1.2374814257516533</v>
      </c>
      <c r="X86">
        <f t="shared" ca="1" si="18"/>
        <v>4.6896419523641875E-2</v>
      </c>
      <c r="Y86">
        <f t="shared" ca="1" si="20"/>
        <v>0.86229874832019027</v>
      </c>
      <c r="Z86">
        <f t="shared" ca="1" si="14"/>
        <v>9.0804832156167886E-2</v>
      </c>
      <c r="AA86">
        <f t="shared" ca="1" si="19"/>
        <v>0</v>
      </c>
      <c r="AB86">
        <f t="shared" ca="1" si="19"/>
        <v>1</v>
      </c>
      <c r="AC86">
        <f t="shared" ca="1" si="19"/>
        <v>0</v>
      </c>
      <c r="AD86">
        <f t="shared" ca="1" si="15"/>
        <v>0</v>
      </c>
      <c r="AE86">
        <f t="shared" ca="1" si="15"/>
        <v>-0.14815349258447313</v>
      </c>
      <c r="AF86">
        <f t="shared" ca="1" si="15"/>
        <v>0</v>
      </c>
    </row>
    <row r="87" spans="1:32" x14ac:dyDescent="0.25">
      <c r="A87">
        <v>305</v>
      </c>
      <c r="B87">
        <v>1</v>
      </c>
      <c r="C87">
        <v>-1</v>
      </c>
      <c r="D87">
        <v>-1</v>
      </c>
      <c r="E87">
        <v>-1</v>
      </c>
      <c r="F87">
        <v>-1</v>
      </c>
      <c r="G87">
        <v>1</v>
      </c>
      <c r="H87">
        <v>0</v>
      </c>
      <c r="P87">
        <f t="shared" si="16"/>
        <v>2.0214334480069271</v>
      </c>
      <c r="Q87">
        <f t="shared" si="13"/>
        <v>7.5491384789895326</v>
      </c>
      <c r="R87">
        <v>253</v>
      </c>
      <c r="S87">
        <v>254</v>
      </c>
      <c r="T87">
        <v>255</v>
      </c>
      <c r="U87">
        <f t="shared" ca="1" si="17"/>
        <v>8.7764944329027011E-2</v>
      </c>
      <c r="V87">
        <f t="shared" ca="1" si="17"/>
        <v>0.38005561415131528</v>
      </c>
      <c r="W87">
        <f t="shared" ca="1" si="17"/>
        <v>1.7116707737529904</v>
      </c>
      <c r="X87">
        <f t="shared" ca="1" si="18"/>
        <v>4.0268544788886106E-2</v>
      </c>
      <c r="Y87">
        <f t="shared" ca="1" si="20"/>
        <v>0.17437812600147892</v>
      </c>
      <c r="Z87">
        <f t="shared" ca="1" si="14"/>
        <v>0.78535332920963485</v>
      </c>
      <c r="AA87">
        <f t="shared" ca="1" si="19"/>
        <v>0</v>
      </c>
      <c r="AB87">
        <f t="shared" ca="1" si="19"/>
        <v>0</v>
      </c>
      <c r="AC87">
        <f t="shared" ca="1" si="19"/>
        <v>1</v>
      </c>
      <c r="AD87">
        <f t="shared" ca="1" si="15"/>
        <v>0</v>
      </c>
      <c r="AE87">
        <f t="shared" ca="1" si="15"/>
        <v>0</v>
      </c>
      <c r="AF87">
        <f t="shared" ca="1" si="15"/>
        <v>-0.24162156156076189</v>
      </c>
    </row>
    <row r="88" spans="1:32" x14ac:dyDescent="0.25">
      <c r="A88">
        <v>305</v>
      </c>
      <c r="B88">
        <v>0</v>
      </c>
      <c r="C88">
        <v>0</v>
      </c>
      <c r="D88">
        <v>1</v>
      </c>
      <c r="E88">
        <v>1</v>
      </c>
      <c r="F88">
        <v>1</v>
      </c>
      <c r="G88">
        <v>1</v>
      </c>
      <c r="H88">
        <v>0</v>
      </c>
      <c r="P88">
        <f t="shared" si="16"/>
        <v>0.53746995417573973</v>
      </c>
      <c r="Q88">
        <f t="shared" si="13"/>
        <v>1.7116707737529904</v>
      </c>
      <c r="R88">
        <v>256</v>
      </c>
      <c r="S88">
        <v>257</v>
      </c>
      <c r="T88">
        <v>258</v>
      </c>
      <c r="U88">
        <f t="shared" ca="1" si="17"/>
        <v>0.17225309005907632</v>
      </c>
      <c r="V88">
        <f t="shared" ca="1" si="17"/>
        <v>7.2142796641606211</v>
      </c>
      <c r="W88">
        <f t="shared" ca="1" si="17"/>
        <v>11.751342512917736</v>
      </c>
      <c r="X88">
        <f t="shared" ca="1" si="18"/>
        <v>9.000638140580863E-3</v>
      </c>
      <c r="Y88">
        <f t="shared" ca="1" si="20"/>
        <v>0.37696345928999803</v>
      </c>
      <c r="Z88">
        <f t="shared" ca="1" si="14"/>
        <v>0.6140359025694212</v>
      </c>
      <c r="AA88">
        <f t="shared" ca="1" si="19"/>
        <v>0</v>
      </c>
      <c r="AB88">
        <f t="shared" ca="1" si="19"/>
        <v>0</v>
      </c>
      <c r="AC88">
        <f t="shared" ca="1" si="19"/>
        <v>1</v>
      </c>
      <c r="AD88">
        <f t="shared" ca="1" si="15"/>
        <v>0</v>
      </c>
      <c r="AE88">
        <f t="shared" ca="1" si="15"/>
        <v>0</v>
      </c>
      <c r="AF88">
        <f t="shared" ca="1" si="15"/>
        <v>-0.48770187930438819</v>
      </c>
    </row>
    <row r="89" spans="1:32" x14ac:dyDescent="0.25">
      <c r="A89">
        <v>305</v>
      </c>
      <c r="B89">
        <v>0</v>
      </c>
      <c r="C89">
        <v>1</v>
      </c>
      <c r="D89">
        <v>0</v>
      </c>
      <c r="E89">
        <v>-1</v>
      </c>
      <c r="F89">
        <v>1</v>
      </c>
      <c r="G89">
        <v>0</v>
      </c>
      <c r="H89">
        <v>1</v>
      </c>
      <c r="P89">
        <f t="shared" si="16"/>
        <v>0.62854920129601144</v>
      </c>
      <c r="Q89">
        <f t="shared" si="13"/>
        <v>1.8748885193273188</v>
      </c>
      <c r="R89">
        <v>259</v>
      </c>
      <c r="S89">
        <v>260</v>
      </c>
      <c r="T89">
        <v>261</v>
      </c>
      <c r="U89">
        <f t="shared" ca="1" si="17"/>
        <v>7.2142796641606211</v>
      </c>
      <c r="V89">
        <f t="shared" ca="1" si="17"/>
        <v>1.2374814257516533</v>
      </c>
      <c r="W89">
        <f t="shared" ca="1" si="17"/>
        <v>0.38005561415131528</v>
      </c>
      <c r="X89">
        <f t="shared" ca="1" si="18"/>
        <v>0.81685115372030681</v>
      </c>
      <c r="Y89">
        <f t="shared" ca="1" si="20"/>
        <v>0.14011629398765468</v>
      </c>
      <c r="Z89">
        <f t="shared" ca="1" si="14"/>
        <v>4.3032552292038471E-2</v>
      </c>
      <c r="AA89">
        <f t="shared" ca="1" si="19"/>
        <v>1</v>
      </c>
      <c r="AB89">
        <f t="shared" ca="1" si="19"/>
        <v>0</v>
      </c>
      <c r="AC89">
        <f t="shared" ca="1" si="19"/>
        <v>0</v>
      </c>
      <c r="AD89">
        <f t="shared" ca="1" si="15"/>
        <v>-0.20229838710894363</v>
      </c>
      <c r="AE89">
        <f t="shared" ca="1" si="15"/>
        <v>0</v>
      </c>
      <c r="AF89">
        <f t="shared" ca="1" si="15"/>
        <v>0</v>
      </c>
    </row>
    <row r="90" spans="1:32" x14ac:dyDescent="0.25">
      <c r="A90">
        <v>306</v>
      </c>
      <c r="B90">
        <v>1</v>
      </c>
      <c r="C90">
        <v>1</v>
      </c>
      <c r="D90">
        <v>0</v>
      </c>
      <c r="E90">
        <v>-1</v>
      </c>
      <c r="F90">
        <v>1</v>
      </c>
      <c r="G90">
        <v>0</v>
      </c>
      <c r="H90">
        <v>1</v>
      </c>
      <c r="P90">
        <f t="shared" si="16"/>
        <v>0.62854920129601144</v>
      </c>
      <c r="Q90">
        <f t="shared" si="13"/>
        <v>1.8748885193273188</v>
      </c>
      <c r="R90">
        <v>262</v>
      </c>
      <c r="S90">
        <v>263</v>
      </c>
      <c r="T90">
        <v>264</v>
      </c>
      <c r="U90">
        <f t="shared" ca="1" si="17"/>
        <v>0.38005561415131528</v>
      </c>
      <c r="V90">
        <f t="shared" ca="1" si="17"/>
        <v>0.63910087950999117</v>
      </c>
      <c r="W90">
        <f t="shared" ca="1" si="17"/>
        <v>7.2142796641606211</v>
      </c>
      <c r="X90">
        <f t="shared" ca="1" si="18"/>
        <v>4.6160024425555897E-2</v>
      </c>
      <c r="Y90">
        <f t="shared" ca="1" si="20"/>
        <v>7.7622619190753389E-2</v>
      </c>
      <c r="Z90">
        <f t="shared" ca="1" si="14"/>
        <v>0.87621735638369069</v>
      </c>
      <c r="AA90">
        <f t="shared" ca="1" si="19"/>
        <v>0</v>
      </c>
      <c r="AB90">
        <f t="shared" ca="1" si="19"/>
        <v>0</v>
      </c>
      <c r="AC90">
        <f t="shared" ca="1" si="19"/>
        <v>1</v>
      </c>
      <c r="AD90">
        <f t="shared" ca="1" si="15"/>
        <v>0</v>
      </c>
      <c r="AE90">
        <f t="shared" ca="1" si="15"/>
        <v>0</v>
      </c>
      <c r="AF90">
        <f t="shared" ca="1" si="15"/>
        <v>-0.13214109509767194</v>
      </c>
    </row>
    <row r="91" spans="1:32" x14ac:dyDescent="0.25">
      <c r="A91">
        <v>306</v>
      </c>
      <c r="B91">
        <v>0</v>
      </c>
      <c r="C91">
        <v>0</v>
      </c>
      <c r="D91">
        <v>1</v>
      </c>
      <c r="E91">
        <v>1</v>
      </c>
      <c r="F91">
        <v>-1</v>
      </c>
      <c r="G91">
        <v>0</v>
      </c>
      <c r="H91">
        <v>1</v>
      </c>
      <c r="P91">
        <f t="shared" si="16"/>
        <v>-1.7587904298642194</v>
      </c>
      <c r="Q91">
        <f t="shared" si="13"/>
        <v>0.17225309005907632</v>
      </c>
      <c r="R91">
        <v>265</v>
      </c>
      <c r="S91">
        <v>266</v>
      </c>
      <c r="T91">
        <v>267</v>
      </c>
      <c r="U91">
        <f t="shared" ca="1" si="17"/>
        <v>7.5491384789895326</v>
      </c>
      <c r="V91">
        <f t="shared" ca="1" si="17"/>
        <v>1.7116707737529904</v>
      </c>
      <c r="W91">
        <f t="shared" ca="1" si="17"/>
        <v>1.8748885193273188</v>
      </c>
      <c r="X91">
        <f t="shared" ca="1" si="18"/>
        <v>0.67792235686604319</v>
      </c>
      <c r="Y91">
        <f t="shared" ca="1" si="20"/>
        <v>0.15371023969832781</v>
      </c>
      <c r="Z91">
        <f t="shared" ca="1" si="14"/>
        <v>0.16836740343562906</v>
      </c>
      <c r="AA91">
        <f t="shared" ca="1" si="19"/>
        <v>1</v>
      </c>
      <c r="AB91">
        <f t="shared" ca="1" si="19"/>
        <v>0</v>
      </c>
      <c r="AC91">
        <f t="shared" ca="1" si="19"/>
        <v>0</v>
      </c>
      <c r="AD91">
        <f t="shared" ca="1" si="15"/>
        <v>-0.38872251549610792</v>
      </c>
      <c r="AE91">
        <f t="shared" ca="1" si="15"/>
        <v>0</v>
      </c>
      <c r="AF91">
        <f t="shared" ca="1" si="15"/>
        <v>0</v>
      </c>
    </row>
    <row r="92" spans="1:32" x14ac:dyDescent="0.25">
      <c r="A92">
        <v>306</v>
      </c>
      <c r="B92">
        <v>0</v>
      </c>
      <c r="C92">
        <v>0</v>
      </c>
      <c r="D92">
        <v>1</v>
      </c>
      <c r="E92">
        <v>-1</v>
      </c>
      <c r="F92">
        <v>1</v>
      </c>
      <c r="G92">
        <v>-1</v>
      </c>
      <c r="H92">
        <v>-1</v>
      </c>
      <c r="P92">
        <f t="shared" si="16"/>
        <v>-2.4330931253926411</v>
      </c>
      <c r="Q92">
        <f t="shared" si="13"/>
        <v>8.7764944329027011E-2</v>
      </c>
      <c r="R92">
        <v>268</v>
      </c>
      <c r="S92">
        <v>269</v>
      </c>
      <c r="T92">
        <v>270</v>
      </c>
      <c r="U92">
        <f t="shared" ca="1" si="17"/>
        <v>1.8748885193273188</v>
      </c>
      <c r="V92">
        <f t="shared" ca="1" si="17"/>
        <v>0.17225309005907632</v>
      </c>
      <c r="W92">
        <f t="shared" ca="1" si="17"/>
        <v>8.7764944329027011E-2</v>
      </c>
      <c r="X92">
        <f t="shared" ca="1" si="18"/>
        <v>0.87820636273958297</v>
      </c>
      <c r="Y92">
        <f t="shared" ca="1" si="20"/>
        <v>8.0684135687016711E-2</v>
      </c>
      <c r="Z92">
        <f t="shared" ca="1" si="14"/>
        <v>4.1109501573400424E-2</v>
      </c>
      <c r="AA92">
        <f t="shared" ca="1" si="19"/>
        <v>1</v>
      </c>
      <c r="AB92">
        <f t="shared" ca="1" si="19"/>
        <v>0</v>
      </c>
      <c r="AC92">
        <f t="shared" ca="1" si="19"/>
        <v>0</v>
      </c>
      <c r="AD92">
        <f t="shared" ca="1" si="15"/>
        <v>-0.12987367567513783</v>
      </c>
      <c r="AE92">
        <f t="shared" ca="1" si="15"/>
        <v>0</v>
      </c>
      <c r="AF92">
        <f t="shared" ca="1" si="15"/>
        <v>0</v>
      </c>
    </row>
    <row r="93" spans="1:32" x14ac:dyDescent="0.25">
      <c r="A93">
        <v>307</v>
      </c>
      <c r="B93">
        <v>1</v>
      </c>
      <c r="C93">
        <v>-1</v>
      </c>
      <c r="D93">
        <v>-1</v>
      </c>
      <c r="E93">
        <v>-1</v>
      </c>
      <c r="F93">
        <v>1</v>
      </c>
      <c r="G93">
        <v>0</v>
      </c>
      <c r="H93">
        <v>1</v>
      </c>
      <c r="P93">
        <f t="shared" si="16"/>
        <v>0.67392030070849041</v>
      </c>
      <c r="Q93">
        <f t="shared" si="13"/>
        <v>1.9619135553315648</v>
      </c>
      <c r="R93">
        <v>271</v>
      </c>
      <c r="S93">
        <v>272</v>
      </c>
      <c r="T93">
        <v>273</v>
      </c>
      <c r="U93">
        <f t="shared" ca="1" si="17"/>
        <v>1.9619135553315648</v>
      </c>
      <c r="V93">
        <f t="shared" ca="1" si="17"/>
        <v>5.4613905795243362E-2</v>
      </c>
      <c r="W93">
        <f t="shared" ca="1" si="17"/>
        <v>0.63910087950999117</v>
      </c>
      <c r="X93">
        <f t="shared" ca="1" si="18"/>
        <v>0.73877565068503259</v>
      </c>
      <c r="Y93">
        <f t="shared" ca="1" si="20"/>
        <v>2.0565342280594642E-2</v>
      </c>
      <c r="Z93">
        <f t="shared" ca="1" si="14"/>
        <v>0.24065900703437276</v>
      </c>
      <c r="AA93">
        <f t="shared" ca="1" si="19"/>
        <v>1</v>
      </c>
      <c r="AB93">
        <f t="shared" ca="1" si="19"/>
        <v>0</v>
      </c>
      <c r="AC93">
        <f t="shared" ca="1" si="19"/>
        <v>0</v>
      </c>
      <c r="AD93">
        <f t="shared" ca="1" si="15"/>
        <v>-0.30276098912514593</v>
      </c>
      <c r="AE93">
        <f t="shared" ca="1" si="15"/>
        <v>0</v>
      </c>
      <c r="AF93">
        <f t="shared" ca="1" si="15"/>
        <v>0</v>
      </c>
    </row>
    <row r="94" spans="1:32" x14ac:dyDescent="0.25">
      <c r="A94">
        <v>307</v>
      </c>
      <c r="B94">
        <v>0</v>
      </c>
      <c r="C94">
        <v>0</v>
      </c>
      <c r="D94">
        <v>1</v>
      </c>
      <c r="E94">
        <v>-1</v>
      </c>
      <c r="F94">
        <v>-1</v>
      </c>
      <c r="G94">
        <v>-1</v>
      </c>
      <c r="H94">
        <v>-1</v>
      </c>
      <c r="P94">
        <f t="shared" si="16"/>
        <v>-2.9074667437634028</v>
      </c>
      <c r="Q94">
        <f t="shared" si="13"/>
        <v>5.4613905795243362E-2</v>
      </c>
      <c r="R94">
        <v>274</v>
      </c>
      <c r="S94">
        <v>275</v>
      </c>
      <c r="T94">
        <v>276</v>
      </c>
      <c r="U94">
        <f t="shared" ca="1" si="17"/>
        <v>11.751342512917736</v>
      </c>
      <c r="V94">
        <f t="shared" ca="1" si="17"/>
        <v>1.8748885193273188</v>
      </c>
      <c r="W94">
        <f t="shared" ca="1" si="17"/>
        <v>7.5491384789895326</v>
      </c>
      <c r="X94">
        <f t="shared" ca="1" si="18"/>
        <v>0.55495336252257899</v>
      </c>
      <c r="Y94">
        <f t="shared" ca="1" si="20"/>
        <v>8.8541006017986937E-2</v>
      </c>
      <c r="Z94">
        <f t="shared" ca="1" si="14"/>
        <v>0.35650563145943398</v>
      </c>
      <c r="AA94">
        <f t="shared" ca="1" si="19"/>
        <v>1</v>
      </c>
      <c r="AB94">
        <f t="shared" ca="1" si="19"/>
        <v>0</v>
      </c>
      <c r="AC94">
        <f t="shared" ca="1" si="19"/>
        <v>0</v>
      </c>
      <c r="AD94">
        <f t="shared" ca="1" si="15"/>
        <v>-0.5888712002573947</v>
      </c>
      <c r="AE94">
        <f t="shared" ca="1" si="15"/>
        <v>0</v>
      </c>
      <c r="AF94">
        <f t="shared" ca="1" si="15"/>
        <v>0</v>
      </c>
    </row>
    <row r="95" spans="1:32" x14ac:dyDescent="0.25">
      <c r="A95">
        <v>307</v>
      </c>
      <c r="B95">
        <v>0</v>
      </c>
      <c r="C95">
        <v>-1</v>
      </c>
      <c r="D95">
        <v>-1</v>
      </c>
      <c r="E95">
        <v>1</v>
      </c>
      <c r="F95">
        <v>1</v>
      </c>
      <c r="G95">
        <v>-1</v>
      </c>
      <c r="H95">
        <v>-1</v>
      </c>
      <c r="P95">
        <f t="shared" si="16"/>
        <v>-0.44769296615724818</v>
      </c>
      <c r="Q95">
        <f t="shared" si="13"/>
        <v>0.63910087950999117</v>
      </c>
      <c r="R95">
        <v>277</v>
      </c>
      <c r="S95">
        <v>278</v>
      </c>
      <c r="T95">
        <v>279</v>
      </c>
      <c r="U95">
        <f t="shared" ca="1" si="17"/>
        <v>5.4613905795243362E-2</v>
      </c>
      <c r="V95">
        <f t="shared" ca="1" si="17"/>
        <v>8.7764944329027011E-2</v>
      </c>
      <c r="W95">
        <f t="shared" ca="1" si="17"/>
        <v>0.17225309005907632</v>
      </c>
      <c r="X95">
        <f t="shared" ca="1" si="18"/>
        <v>0.17358029754836074</v>
      </c>
      <c r="Y95">
        <f t="shared" ca="1" si="20"/>
        <v>0.27894480222790918</v>
      </c>
      <c r="Z95">
        <f t="shared" ca="1" si="14"/>
        <v>0.54747490022373002</v>
      </c>
      <c r="AA95">
        <f t="shared" ca="1" si="19"/>
        <v>0</v>
      </c>
      <c r="AB95">
        <f t="shared" ca="1" si="19"/>
        <v>0</v>
      </c>
      <c r="AC95">
        <f t="shared" ca="1" si="19"/>
        <v>1</v>
      </c>
      <c r="AD95">
        <f t="shared" ca="1" si="15"/>
        <v>0</v>
      </c>
      <c r="AE95">
        <f t="shared" ca="1" si="15"/>
        <v>0</v>
      </c>
      <c r="AF95">
        <f t="shared" ca="1" si="15"/>
        <v>-0.60243866268258417</v>
      </c>
    </row>
    <row r="96" spans="1:32" x14ac:dyDescent="0.25">
      <c r="A96">
        <v>308</v>
      </c>
      <c r="B96">
        <v>1</v>
      </c>
      <c r="C96">
        <v>1</v>
      </c>
      <c r="D96">
        <v>0</v>
      </c>
      <c r="E96">
        <v>1</v>
      </c>
      <c r="F96">
        <v>1</v>
      </c>
      <c r="G96">
        <v>1</v>
      </c>
      <c r="H96">
        <v>0</v>
      </c>
      <c r="P96">
        <f t="shared" si="16"/>
        <v>2.4639674904819313</v>
      </c>
      <c r="Q96">
        <f t="shared" si="13"/>
        <v>11.751342512917736</v>
      </c>
      <c r="R96">
        <v>280</v>
      </c>
      <c r="S96">
        <v>281</v>
      </c>
      <c r="T96">
        <v>282</v>
      </c>
      <c r="U96">
        <f t="shared" ca="1" si="17"/>
        <v>1.7116707737529904</v>
      </c>
      <c r="V96">
        <f t="shared" ca="1" si="17"/>
        <v>7.5491384789895326</v>
      </c>
      <c r="W96">
        <f t="shared" ca="1" si="17"/>
        <v>1.9619135553315648</v>
      </c>
      <c r="X96">
        <f t="shared" ca="1" si="18"/>
        <v>0.15251831512060016</v>
      </c>
      <c r="Y96">
        <f t="shared" ca="1" si="20"/>
        <v>0.67266550266735381</v>
      </c>
      <c r="Z96">
        <f t="shared" ca="1" si="14"/>
        <v>0.17481618221204606</v>
      </c>
      <c r="AA96">
        <f t="shared" ca="1" si="19"/>
        <v>0</v>
      </c>
      <c r="AB96">
        <f t="shared" ca="1" si="19"/>
        <v>1</v>
      </c>
      <c r="AC96">
        <f t="shared" ca="1" si="19"/>
        <v>0</v>
      </c>
      <c r="AD96">
        <f t="shared" ca="1" si="15"/>
        <v>0</v>
      </c>
      <c r="AE96">
        <f t="shared" ca="1" si="15"/>
        <v>-0.39650709716333266</v>
      </c>
      <c r="AF96">
        <f t="shared" ca="1" si="15"/>
        <v>0</v>
      </c>
    </row>
    <row r="97" spans="1:32" x14ac:dyDescent="0.25">
      <c r="A97">
        <v>308</v>
      </c>
      <c r="B97">
        <v>0</v>
      </c>
      <c r="C97">
        <v>1</v>
      </c>
      <c r="D97">
        <v>0</v>
      </c>
      <c r="E97">
        <v>-1</v>
      </c>
      <c r="F97">
        <v>1</v>
      </c>
      <c r="G97">
        <v>0</v>
      </c>
      <c r="H97">
        <v>1</v>
      </c>
      <c r="P97">
        <f t="shared" si="16"/>
        <v>0.62854920129601144</v>
      </c>
      <c r="Q97">
        <f t="shared" si="13"/>
        <v>1.8748885193273188</v>
      </c>
      <c r="R97">
        <v>283</v>
      </c>
      <c r="S97">
        <v>284</v>
      </c>
      <c r="T97">
        <v>285</v>
      </c>
      <c r="U97">
        <f t="shared" ca="1" si="17"/>
        <v>1.2374814257516533</v>
      </c>
      <c r="V97">
        <f t="shared" ca="1" si="17"/>
        <v>1.9619135553315648</v>
      </c>
      <c r="W97">
        <f t="shared" ca="1" si="17"/>
        <v>5.4613905795243362E-2</v>
      </c>
      <c r="X97">
        <f t="shared" ca="1" si="18"/>
        <v>0.38029442105757644</v>
      </c>
      <c r="Y97">
        <f t="shared" ca="1" si="20"/>
        <v>0.60292200283866126</v>
      </c>
      <c r="Z97">
        <f t="shared" ca="1" si="14"/>
        <v>1.6783576103762254E-2</v>
      </c>
      <c r="AA97">
        <f t="shared" ca="1" si="19"/>
        <v>0</v>
      </c>
      <c r="AB97">
        <f t="shared" ca="1" si="19"/>
        <v>1</v>
      </c>
      <c r="AC97">
        <f t="shared" ca="1" si="19"/>
        <v>0</v>
      </c>
      <c r="AD97">
        <f t="shared" ca="1" si="15"/>
        <v>0</v>
      </c>
      <c r="AE97">
        <f t="shared" ca="1" si="15"/>
        <v>-0.50596743914746023</v>
      </c>
      <c r="AF97">
        <f t="shared" ca="1" si="15"/>
        <v>0</v>
      </c>
    </row>
    <row r="98" spans="1:32" x14ac:dyDescent="0.25">
      <c r="A98">
        <v>308</v>
      </c>
      <c r="B98">
        <v>0</v>
      </c>
      <c r="C98">
        <v>-1</v>
      </c>
      <c r="D98">
        <v>-1</v>
      </c>
      <c r="E98">
        <v>-1</v>
      </c>
      <c r="F98">
        <v>-1</v>
      </c>
      <c r="G98">
        <v>1</v>
      </c>
      <c r="H98">
        <v>0</v>
      </c>
      <c r="P98">
        <f t="shared" si="16"/>
        <v>2.0214334480069271</v>
      </c>
      <c r="Q98">
        <f t="shared" si="13"/>
        <v>7.5491384789895326</v>
      </c>
      <c r="R98">
        <v>286</v>
      </c>
      <c r="S98">
        <v>287</v>
      </c>
      <c r="T98">
        <v>288</v>
      </c>
      <c r="U98">
        <f t="shared" ca="1" si="17"/>
        <v>0.63910087950999117</v>
      </c>
      <c r="V98">
        <f t="shared" ca="1" si="17"/>
        <v>11.751342512917736</v>
      </c>
      <c r="W98">
        <f t="shared" ca="1" si="17"/>
        <v>1.2374814257516533</v>
      </c>
      <c r="X98">
        <f t="shared" ca="1" si="18"/>
        <v>4.6896419523641875E-2</v>
      </c>
      <c r="Y98">
        <f t="shared" ca="1" si="20"/>
        <v>0.86229874832019027</v>
      </c>
      <c r="Z98">
        <f t="shared" ca="1" si="14"/>
        <v>9.0804832156167886E-2</v>
      </c>
      <c r="AA98">
        <f t="shared" ca="1" si="19"/>
        <v>0</v>
      </c>
      <c r="AB98">
        <f t="shared" ca="1" si="19"/>
        <v>1</v>
      </c>
      <c r="AC98">
        <f t="shared" ca="1" si="19"/>
        <v>0</v>
      </c>
      <c r="AD98">
        <f t="shared" ca="1" si="15"/>
        <v>0</v>
      </c>
      <c r="AE98">
        <f t="shared" ca="1" si="15"/>
        <v>-0.14815349258447313</v>
      </c>
      <c r="AF98">
        <f t="shared" ca="1" si="15"/>
        <v>0</v>
      </c>
    </row>
    <row r="99" spans="1:32" x14ac:dyDescent="0.25">
      <c r="A99">
        <v>309</v>
      </c>
      <c r="B99">
        <v>0</v>
      </c>
      <c r="C99">
        <v>0</v>
      </c>
      <c r="D99">
        <v>1</v>
      </c>
      <c r="E99">
        <v>-1</v>
      </c>
      <c r="F99">
        <v>-1</v>
      </c>
      <c r="G99">
        <v>-1</v>
      </c>
      <c r="H99">
        <v>-1</v>
      </c>
      <c r="P99">
        <f t="shared" si="16"/>
        <v>-2.9074667437634028</v>
      </c>
      <c r="Q99">
        <f t="shared" si="13"/>
        <v>5.4613905795243362E-2</v>
      </c>
      <c r="R99">
        <v>289</v>
      </c>
      <c r="S99">
        <v>290</v>
      </c>
      <c r="T99">
        <v>291</v>
      </c>
      <c r="U99">
        <f t="shared" ca="1" si="17"/>
        <v>8.7764944329027011E-2</v>
      </c>
      <c r="V99">
        <f t="shared" ca="1" si="17"/>
        <v>0.38005561415131528</v>
      </c>
      <c r="W99">
        <f t="shared" ca="1" si="17"/>
        <v>1.7116707737529904</v>
      </c>
      <c r="X99">
        <f t="shared" ca="1" si="18"/>
        <v>4.0268544788886106E-2</v>
      </c>
      <c r="Y99">
        <f t="shared" ca="1" si="20"/>
        <v>0.17437812600147892</v>
      </c>
      <c r="Z99">
        <f t="shared" ca="1" si="14"/>
        <v>0.78535332920963485</v>
      </c>
      <c r="AA99">
        <f t="shared" ca="1" si="19"/>
        <v>0</v>
      </c>
      <c r="AB99">
        <f t="shared" ca="1" si="19"/>
        <v>1</v>
      </c>
      <c r="AC99">
        <f t="shared" ca="1" si="19"/>
        <v>0</v>
      </c>
      <c r="AD99">
        <f t="shared" ca="1" si="15"/>
        <v>0</v>
      </c>
      <c r="AE99">
        <f t="shared" ca="1" si="15"/>
        <v>-1.7465291996769901</v>
      </c>
      <c r="AF99">
        <f t="shared" ca="1" si="15"/>
        <v>0</v>
      </c>
    </row>
    <row r="100" spans="1:32" x14ac:dyDescent="0.25">
      <c r="A100">
        <v>309</v>
      </c>
      <c r="B100">
        <v>0</v>
      </c>
      <c r="C100">
        <v>0</v>
      </c>
      <c r="D100">
        <v>1</v>
      </c>
      <c r="E100">
        <v>-1</v>
      </c>
      <c r="F100">
        <v>1</v>
      </c>
      <c r="G100">
        <v>-1</v>
      </c>
      <c r="H100">
        <v>-1</v>
      </c>
      <c r="P100">
        <f t="shared" si="16"/>
        <v>-2.4330931253926411</v>
      </c>
      <c r="Q100">
        <f t="shared" si="13"/>
        <v>8.7764944329027011E-2</v>
      </c>
      <c r="R100">
        <v>292</v>
      </c>
      <c r="S100">
        <v>293</v>
      </c>
      <c r="T100">
        <v>294</v>
      </c>
      <c r="U100">
        <f t="shared" ca="1" si="17"/>
        <v>0.17225309005907632</v>
      </c>
      <c r="V100">
        <f t="shared" ca="1" si="17"/>
        <v>7.2142796641606211</v>
      </c>
      <c r="W100">
        <f t="shared" ca="1" si="17"/>
        <v>11.751342512917736</v>
      </c>
      <c r="X100">
        <f t="shared" ca="1" si="18"/>
        <v>9.000638140580863E-3</v>
      </c>
      <c r="Y100">
        <f t="shared" ca="1" si="20"/>
        <v>0.37696345928999803</v>
      </c>
      <c r="Z100">
        <f t="shared" ca="1" si="14"/>
        <v>0.6140359025694212</v>
      </c>
      <c r="AA100">
        <f t="shared" ca="1" si="19"/>
        <v>0</v>
      </c>
      <c r="AB100">
        <f t="shared" ca="1" si="19"/>
        <v>1</v>
      </c>
      <c r="AC100">
        <f t="shared" ca="1" si="19"/>
        <v>0</v>
      </c>
      <c r="AD100">
        <f t="shared" ca="1" si="15"/>
        <v>0</v>
      </c>
      <c r="AE100">
        <f t="shared" ca="1" si="15"/>
        <v>-0.97560702119187126</v>
      </c>
      <c r="AF100">
        <f t="shared" ca="1" si="15"/>
        <v>0</v>
      </c>
    </row>
    <row r="101" spans="1:32" x14ac:dyDescent="0.25">
      <c r="A101">
        <v>309</v>
      </c>
      <c r="B101">
        <v>1</v>
      </c>
      <c r="C101">
        <v>0</v>
      </c>
      <c r="D101">
        <v>1</v>
      </c>
      <c r="E101">
        <v>1</v>
      </c>
      <c r="F101">
        <v>-1</v>
      </c>
      <c r="G101">
        <v>0</v>
      </c>
      <c r="H101">
        <v>1</v>
      </c>
      <c r="P101">
        <f t="shared" si="16"/>
        <v>-1.7587904298642194</v>
      </c>
      <c r="Q101">
        <f t="shared" si="13"/>
        <v>0.17225309005907632</v>
      </c>
      <c r="R101">
        <v>295</v>
      </c>
      <c r="S101">
        <v>296</v>
      </c>
      <c r="T101">
        <v>297</v>
      </c>
      <c r="U101">
        <f t="shared" ca="1" si="17"/>
        <v>7.2142796641606211</v>
      </c>
      <c r="V101">
        <f t="shared" ca="1" si="17"/>
        <v>1.2374814257516533</v>
      </c>
      <c r="W101">
        <f t="shared" ca="1" si="17"/>
        <v>0.38005561415131528</v>
      </c>
      <c r="X101">
        <f t="shared" ca="1" si="18"/>
        <v>0.81685115372030681</v>
      </c>
      <c r="Y101">
        <f t="shared" ca="1" si="20"/>
        <v>0.14011629398765468</v>
      </c>
      <c r="Z101">
        <f t="shared" ca="1" si="14"/>
        <v>4.3032552292038471E-2</v>
      </c>
      <c r="AA101">
        <f t="shared" ca="1" si="19"/>
        <v>0</v>
      </c>
      <c r="AB101">
        <f t="shared" ca="1" si="19"/>
        <v>0</v>
      </c>
      <c r="AC101">
        <f t="shared" ca="1" si="19"/>
        <v>1</v>
      </c>
      <c r="AD101">
        <f t="shared" ca="1" si="15"/>
        <v>0</v>
      </c>
      <c r="AE101">
        <f t="shared" ca="1" si="15"/>
        <v>0</v>
      </c>
      <c r="AF101">
        <f t="shared" ca="1" si="15"/>
        <v>-3.1457984196438802</v>
      </c>
    </row>
    <row r="102" spans="1:32" x14ac:dyDescent="0.25">
      <c r="A102">
        <v>310</v>
      </c>
      <c r="B102">
        <v>0</v>
      </c>
      <c r="C102">
        <v>0</v>
      </c>
      <c r="D102">
        <v>1</v>
      </c>
      <c r="E102">
        <v>1</v>
      </c>
      <c r="F102">
        <v>1</v>
      </c>
      <c r="G102">
        <v>1</v>
      </c>
      <c r="H102">
        <v>0</v>
      </c>
      <c r="P102">
        <f t="shared" si="16"/>
        <v>0.53746995417573973</v>
      </c>
      <c r="Q102">
        <f t="shared" si="13"/>
        <v>1.7116707737529904</v>
      </c>
      <c r="R102">
        <v>298</v>
      </c>
      <c r="S102">
        <v>299</v>
      </c>
      <c r="T102">
        <v>300</v>
      </c>
      <c r="U102">
        <f t="shared" ca="1" si="17"/>
        <v>0.38005561415131528</v>
      </c>
      <c r="V102">
        <f t="shared" ca="1" si="17"/>
        <v>0.63910087950999117</v>
      </c>
      <c r="W102">
        <f t="shared" ca="1" si="17"/>
        <v>7.2142796641606211</v>
      </c>
      <c r="X102">
        <f t="shared" ca="1" si="18"/>
        <v>4.6160024425555897E-2</v>
      </c>
      <c r="Y102">
        <f t="shared" ca="1" si="20"/>
        <v>7.7622619190753389E-2</v>
      </c>
      <c r="Z102">
        <f t="shared" ca="1" si="14"/>
        <v>0.87621735638369069</v>
      </c>
      <c r="AA102">
        <f t="shared" ca="1" si="19"/>
        <v>1</v>
      </c>
      <c r="AB102">
        <f t="shared" ca="1" si="19"/>
        <v>0</v>
      </c>
      <c r="AC102">
        <f t="shared" ca="1" si="19"/>
        <v>0</v>
      </c>
      <c r="AD102">
        <f t="shared" ca="1" si="15"/>
        <v>-3.0756411276326086</v>
      </c>
      <c r="AE102">
        <f t="shared" ca="1" si="15"/>
        <v>0</v>
      </c>
      <c r="AF102">
        <f t="shared" ca="1" si="15"/>
        <v>0</v>
      </c>
    </row>
    <row r="103" spans="1:32" x14ac:dyDescent="0.25">
      <c r="A103">
        <v>310</v>
      </c>
      <c r="B103">
        <v>1</v>
      </c>
      <c r="C103">
        <v>-1</v>
      </c>
      <c r="D103">
        <v>-1</v>
      </c>
      <c r="E103">
        <v>-1</v>
      </c>
      <c r="F103">
        <v>-1</v>
      </c>
      <c r="G103">
        <v>1</v>
      </c>
      <c r="H103">
        <v>0</v>
      </c>
      <c r="P103">
        <f t="shared" si="16"/>
        <v>2.0214334480069271</v>
      </c>
      <c r="Q103">
        <f t="shared" si="13"/>
        <v>7.5491384789895326</v>
      </c>
      <c r="R103">
        <v>301</v>
      </c>
      <c r="S103">
        <v>302</v>
      </c>
      <c r="T103">
        <v>303</v>
      </c>
      <c r="U103">
        <f t="shared" ca="1" si="17"/>
        <v>7.5491384789895326</v>
      </c>
      <c r="V103">
        <f t="shared" ca="1" si="17"/>
        <v>1.7116707737529904</v>
      </c>
      <c r="W103">
        <f t="shared" ca="1" si="17"/>
        <v>1.8748885193273188</v>
      </c>
      <c r="X103">
        <f t="shared" ca="1" si="18"/>
        <v>0.67792235686604319</v>
      </c>
      <c r="Y103">
        <f t="shared" ca="1" si="20"/>
        <v>0.15371023969832781</v>
      </c>
      <c r="Z103">
        <f t="shared" ca="1" si="14"/>
        <v>0.16836740343562906</v>
      </c>
      <c r="AA103">
        <f t="shared" ca="1" si="19"/>
        <v>1</v>
      </c>
      <c r="AB103">
        <f t="shared" ca="1" si="19"/>
        <v>0</v>
      </c>
      <c r="AC103">
        <f t="shared" ca="1" si="19"/>
        <v>0</v>
      </c>
      <c r="AD103">
        <f t="shared" ca="1" si="15"/>
        <v>-0.38872251549610792</v>
      </c>
      <c r="AE103">
        <f t="shared" ca="1" si="15"/>
        <v>0</v>
      </c>
      <c r="AF103">
        <f t="shared" ca="1" si="15"/>
        <v>0</v>
      </c>
    </row>
    <row r="104" spans="1:32" x14ac:dyDescent="0.25">
      <c r="A104">
        <v>310</v>
      </c>
      <c r="B104">
        <v>0</v>
      </c>
      <c r="C104">
        <v>-1</v>
      </c>
      <c r="D104">
        <v>-1</v>
      </c>
      <c r="E104">
        <v>-1</v>
      </c>
      <c r="F104">
        <v>1</v>
      </c>
      <c r="G104">
        <v>0</v>
      </c>
      <c r="H104">
        <v>1</v>
      </c>
      <c r="P104">
        <f t="shared" si="16"/>
        <v>0.67392030070849041</v>
      </c>
      <c r="Q104">
        <f t="shared" si="13"/>
        <v>1.9619135553315648</v>
      </c>
      <c r="R104">
        <v>304</v>
      </c>
      <c r="S104">
        <v>305</v>
      </c>
      <c r="T104">
        <v>306</v>
      </c>
      <c r="U104">
        <f t="shared" ca="1" si="17"/>
        <v>1.8748885193273188</v>
      </c>
      <c r="V104">
        <f t="shared" ca="1" si="17"/>
        <v>0.17225309005907632</v>
      </c>
      <c r="W104">
        <f t="shared" ca="1" si="17"/>
        <v>8.7764944329027011E-2</v>
      </c>
      <c r="X104">
        <f t="shared" ca="1" si="18"/>
        <v>0.87820636273958297</v>
      </c>
      <c r="Y104">
        <f t="shared" ca="1" si="20"/>
        <v>8.0684135687016711E-2</v>
      </c>
      <c r="Z104">
        <f t="shared" ca="1" si="14"/>
        <v>4.1109501573400424E-2</v>
      </c>
      <c r="AA104">
        <f t="shared" ca="1" si="19"/>
        <v>0</v>
      </c>
      <c r="AB104">
        <f t="shared" ca="1" si="19"/>
        <v>0</v>
      </c>
      <c r="AC104">
        <f t="shared" ca="1" si="19"/>
        <v>1</v>
      </c>
      <c r="AD104">
        <f t="shared" ca="1" si="15"/>
        <v>0</v>
      </c>
      <c r="AE104">
        <f t="shared" ca="1" si="15"/>
        <v>0</v>
      </c>
      <c r="AF104">
        <f t="shared" ca="1" si="15"/>
        <v>-3.1915160023637905</v>
      </c>
    </row>
    <row r="105" spans="1:32" x14ac:dyDescent="0.25">
      <c r="A105">
        <v>311</v>
      </c>
      <c r="B105">
        <v>0</v>
      </c>
      <c r="C105">
        <v>-1</v>
      </c>
      <c r="D105">
        <v>-1</v>
      </c>
      <c r="E105">
        <v>1</v>
      </c>
      <c r="F105">
        <v>-1</v>
      </c>
      <c r="G105">
        <v>0</v>
      </c>
      <c r="H105">
        <v>1</v>
      </c>
      <c r="P105">
        <f t="shared" si="16"/>
        <v>0.21307820585445134</v>
      </c>
      <c r="Q105">
        <f t="shared" si="13"/>
        <v>1.2374814257516533</v>
      </c>
      <c r="R105">
        <v>307</v>
      </c>
      <c r="S105">
        <v>308</v>
      </c>
      <c r="T105">
        <v>309</v>
      </c>
      <c r="U105">
        <f t="shared" ca="1" si="17"/>
        <v>1.9619135553315648</v>
      </c>
      <c r="V105">
        <f t="shared" ca="1" si="17"/>
        <v>5.4613905795243362E-2</v>
      </c>
      <c r="W105">
        <f t="shared" ca="1" si="17"/>
        <v>0.63910087950999117</v>
      </c>
      <c r="X105">
        <f t="shared" ca="1" si="18"/>
        <v>0.73877565068503259</v>
      </c>
      <c r="Y105">
        <f t="shared" ca="1" si="20"/>
        <v>2.0565342280594642E-2</v>
      </c>
      <c r="Z105">
        <f t="shared" ca="1" si="14"/>
        <v>0.24065900703437276</v>
      </c>
      <c r="AA105">
        <f t="shared" ca="1" si="19"/>
        <v>0</v>
      </c>
      <c r="AB105">
        <f t="shared" ca="1" si="19"/>
        <v>1</v>
      </c>
      <c r="AC105">
        <f t="shared" ca="1" si="19"/>
        <v>0</v>
      </c>
      <c r="AD105">
        <f t="shared" ca="1" si="15"/>
        <v>0</v>
      </c>
      <c r="AE105">
        <f t="shared" ca="1" si="15"/>
        <v>-3.8841480335970391</v>
      </c>
      <c r="AF105">
        <f t="shared" ca="1" si="15"/>
        <v>0</v>
      </c>
    </row>
    <row r="106" spans="1:32" x14ac:dyDescent="0.25">
      <c r="A106">
        <v>311</v>
      </c>
      <c r="B106">
        <v>1</v>
      </c>
      <c r="C106">
        <v>-1</v>
      </c>
      <c r="D106">
        <v>-1</v>
      </c>
      <c r="E106">
        <v>-1</v>
      </c>
      <c r="F106">
        <v>1</v>
      </c>
      <c r="G106">
        <v>0</v>
      </c>
      <c r="H106">
        <v>1</v>
      </c>
      <c r="P106">
        <f t="shared" si="16"/>
        <v>0.67392030070849041</v>
      </c>
      <c r="Q106">
        <f t="shared" si="13"/>
        <v>1.9619135553315648</v>
      </c>
      <c r="R106">
        <v>310</v>
      </c>
      <c r="S106">
        <v>311</v>
      </c>
      <c r="T106">
        <v>312</v>
      </c>
      <c r="U106">
        <f t="shared" ca="1" si="17"/>
        <v>11.751342512917736</v>
      </c>
      <c r="V106">
        <f t="shared" ca="1" si="17"/>
        <v>1.8748885193273188</v>
      </c>
      <c r="W106">
        <f t="shared" ca="1" si="17"/>
        <v>7.5491384789895326</v>
      </c>
      <c r="X106">
        <f t="shared" ca="1" si="18"/>
        <v>0.55495336252257899</v>
      </c>
      <c r="Y106">
        <f t="shared" ca="1" si="20"/>
        <v>8.8541006017986937E-2</v>
      </c>
      <c r="Z106">
        <f t="shared" ca="1" si="14"/>
        <v>0.35650563145943398</v>
      </c>
      <c r="AA106">
        <f t="shared" ca="1" si="19"/>
        <v>0</v>
      </c>
      <c r="AB106">
        <f t="shared" ca="1" si="19"/>
        <v>0</v>
      </c>
      <c r="AC106">
        <f t="shared" ca="1" si="19"/>
        <v>1</v>
      </c>
      <c r="AD106">
        <f t="shared" ca="1" si="15"/>
        <v>0</v>
      </c>
      <c r="AE106">
        <f t="shared" ca="1" si="15"/>
        <v>0</v>
      </c>
      <c r="AF106">
        <f t="shared" ca="1" si="15"/>
        <v>-1.0314052427323988</v>
      </c>
    </row>
    <row r="107" spans="1:32" x14ac:dyDescent="0.25">
      <c r="A107">
        <v>311</v>
      </c>
      <c r="B107">
        <v>0</v>
      </c>
      <c r="C107">
        <v>0</v>
      </c>
      <c r="D107">
        <v>1</v>
      </c>
      <c r="E107">
        <v>-1</v>
      </c>
      <c r="F107">
        <v>-1</v>
      </c>
      <c r="G107">
        <v>-1</v>
      </c>
      <c r="H107">
        <v>-1</v>
      </c>
      <c r="P107">
        <f t="shared" si="16"/>
        <v>-2.9074667437634028</v>
      </c>
      <c r="Q107">
        <f t="shared" si="13"/>
        <v>5.4613905795243362E-2</v>
      </c>
      <c r="R107">
        <v>313</v>
      </c>
      <c r="S107">
        <v>314</v>
      </c>
      <c r="T107">
        <v>315</v>
      </c>
      <c r="U107">
        <f t="shared" ca="1" si="17"/>
        <v>5.4613905795243362E-2</v>
      </c>
      <c r="V107">
        <f t="shared" ca="1" si="17"/>
        <v>8.7764944329027011E-2</v>
      </c>
      <c r="W107">
        <f t="shared" ca="1" si="17"/>
        <v>0.17225309005907632</v>
      </c>
      <c r="X107">
        <f t="shared" ca="1" si="18"/>
        <v>0.17358029754836074</v>
      </c>
      <c r="Y107">
        <f t="shared" ca="1" si="20"/>
        <v>0.27894480222790918</v>
      </c>
      <c r="Z107">
        <f t="shared" ca="1" si="14"/>
        <v>0.54747490022373002</v>
      </c>
      <c r="AA107">
        <f t="shared" ca="1" si="19"/>
        <v>1</v>
      </c>
      <c r="AB107">
        <f t="shared" ca="1" si="19"/>
        <v>0</v>
      </c>
      <c r="AC107">
        <f t="shared" ca="1" si="19"/>
        <v>0</v>
      </c>
      <c r="AD107">
        <f t="shared" ca="1" si="15"/>
        <v>-1.7511149765817675</v>
      </c>
      <c r="AE107">
        <f t="shared" ca="1" si="15"/>
        <v>0</v>
      </c>
      <c r="AF107">
        <f t="shared" ca="1" si="15"/>
        <v>0</v>
      </c>
    </row>
    <row r="108" spans="1:32" x14ac:dyDescent="0.25">
      <c r="A108">
        <v>312</v>
      </c>
      <c r="B108">
        <v>0</v>
      </c>
      <c r="C108">
        <v>-1</v>
      </c>
      <c r="D108">
        <v>-1</v>
      </c>
      <c r="E108">
        <v>1</v>
      </c>
      <c r="F108">
        <v>1</v>
      </c>
      <c r="G108">
        <v>-1</v>
      </c>
      <c r="H108">
        <v>-1</v>
      </c>
      <c r="P108">
        <f t="shared" si="16"/>
        <v>-0.44769296615724818</v>
      </c>
      <c r="Q108">
        <f t="shared" si="13"/>
        <v>0.63910087950999117</v>
      </c>
      <c r="R108">
        <v>316</v>
      </c>
      <c r="S108">
        <v>317</v>
      </c>
      <c r="T108">
        <v>318</v>
      </c>
      <c r="U108">
        <f t="shared" ca="1" si="17"/>
        <v>1.7116707737529904</v>
      </c>
      <c r="V108">
        <f t="shared" ca="1" si="17"/>
        <v>7.5491384789895326</v>
      </c>
      <c r="W108">
        <f t="shared" ca="1" si="17"/>
        <v>1.9619135553315648</v>
      </c>
      <c r="X108">
        <f t="shared" ca="1" si="18"/>
        <v>0.15251831512060016</v>
      </c>
      <c r="Y108">
        <f t="shared" ca="1" si="20"/>
        <v>0.67266550266735381</v>
      </c>
      <c r="Z108">
        <f t="shared" ca="1" si="14"/>
        <v>0.17481618221204606</v>
      </c>
      <c r="AA108">
        <f t="shared" ca="1" si="19"/>
        <v>0</v>
      </c>
      <c r="AB108">
        <f t="shared" ca="1" si="19"/>
        <v>1</v>
      </c>
      <c r="AC108">
        <f t="shared" ca="1" si="19"/>
        <v>0</v>
      </c>
      <c r="AD108">
        <f t="shared" ca="1" si="15"/>
        <v>0</v>
      </c>
      <c r="AE108">
        <f t="shared" ca="1" si="15"/>
        <v>-0.39650709716333266</v>
      </c>
      <c r="AF108">
        <f t="shared" ca="1" si="15"/>
        <v>0</v>
      </c>
    </row>
    <row r="109" spans="1:32" x14ac:dyDescent="0.25">
      <c r="A109">
        <v>312</v>
      </c>
      <c r="B109">
        <v>1</v>
      </c>
      <c r="C109">
        <v>1</v>
      </c>
      <c r="D109">
        <v>0</v>
      </c>
      <c r="E109">
        <v>1</v>
      </c>
      <c r="F109">
        <v>1</v>
      </c>
      <c r="G109">
        <v>1</v>
      </c>
      <c r="H109">
        <v>0</v>
      </c>
      <c r="P109">
        <f t="shared" si="16"/>
        <v>2.4639674904819313</v>
      </c>
      <c r="Q109">
        <f t="shared" si="13"/>
        <v>11.751342512917736</v>
      </c>
      <c r="R109">
        <v>319</v>
      </c>
      <c r="S109">
        <v>320</v>
      </c>
      <c r="T109">
        <v>321</v>
      </c>
      <c r="U109">
        <f t="shared" ca="1" si="17"/>
        <v>1.2374814257516533</v>
      </c>
      <c r="V109">
        <f t="shared" ca="1" si="17"/>
        <v>1.9619135553315648</v>
      </c>
      <c r="W109">
        <f t="shared" ca="1" si="17"/>
        <v>5.4613905795243362E-2</v>
      </c>
      <c r="X109">
        <f t="shared" ca="1" si="18"/>
        <v>0.38029442105757644</v>
      </c>
      <c r="Y109">
        <f t="shared" ca="1" si="20"/>
        <v>0.60292200283866126</v>
      </c>
      <c r="Z109">
        <f t="shared" ca="1" si="14"/>
        <v>1.6783576103762254E-2</v>
      </c>
      <c r="AA109">
        <f t="shared" ca="1" si="19"/>
        <v>0</v>
      </c>
      <c r="AB109">
        <f t="shared" ca="1" si="19"/>
        <v>0</v>
      </c>
      <c r="AC109">
        <f t="shared" ca="1" si="19"/>
        <v>1</v>
      </c>
      <c r="AD109">
        <f t="shared" ca="1" si="15"/>
        <v>0</v>
      </c>
      <c r="AE109">
        <f t="shared" ca="1" si="15"/>
        <v>0</v>
      </c>
      <c r="AF109">
        <f t="shared" ca="1" si="15"/>
        <v>-4.0873544836193538</v>
      </c>
    </row>
    <row r="110" spans="1:32" x14ac:dyDescent="0.25">
      <c r="A110">
        <v>312</v>
      </c>
      <c r="B110">
        <v>0</v>
      </c>
      <c r="C110">
        <v>-1</v>
      </c>
      <c r="D110">
        <v>-1</v>
      </c>
      <c r="E110">
        <v>1</v>
      </c>
      <c r="F110">
        <v>-1</v>
      </c>
      <c r="G110">
        <v>0</v>
      </c>
      <c r="H110">
        <v>1</v>
      </c>
      <c r="P110">
        <f t="shared" si="16"/>
        <v>0.21307820585445134</v>
      </c>
      <c r="Q110">
        <f t="shared" si="13"/>
        <v>1.2374814257516533</v>
      </c>
      <c r="R110">
        <v>322</v>
      </c>
      <c r="S110">
        <v>323</v>
      </c>
      <c r="T110">
        <v>324</v>
      </c>
      <c r="U110">
        <f t="shared" ca="1" si="17"/>
        <v>0.63910087950999117</v>
      </c>
      <c r="V110">
        <f t="shared" ca="1" si="17"/>
        <v>11.751342512917736</v>
      </c>
      <c r="W110">
        <f t="shared" ca="1" si="17"/>
        <v>1.2374814257516533</v>
      </c>
      <c r="X110">
        <f t="shared" ca="1" si="18"/>
        <v>4.6896419523641875E-2</v>
      </c>
      <c r="Y110">
        <f t="shared" ca="1" si="20"/>
        <v>0.86229874832019027</v>
      </c>
      <c r="Z110">
        <f t="shared" ca="1" si="14"/>
        <v>9.0804832156167886E-2</v>
      </c>
      <c r="AA110">
        <f t="shared" ca="1" si="19"/>
        <v>0</v>
      </c>
      <c r="AB110">
        <f t="shared" ca="1" si="19"/>
        <v>0</v>
      </c>
      <c r="AC110">
        <f t="shared" ca="1" si="19"/>
        <v>1</v>
      </c>
      <c r="AD110">
        <f t="shared" ca="1" si="15"/>
        <v>0</v>
      </c>
      <c r="AE110">
        <f t="shared" ca="1" si="15"/>
        <v>0</v>
      </c>
      <c r="AF110">
        <f t="shared" ca="1" si="15"/>
        <v>-2.3990427772119531</v>
      </c>
    </row>
    <row r="111" spans="1:32" x14ac:dyDescent="0.25">
      <c r="A111">
        <v>401</v>
      </c>
      <c r="B111">
        <v>0</v>
      </c>
      <c r="C111">
        <v>0</v>
      </c>
      <c r="D111">
        <v>1</v>
      </c>
      <c r="E111">
        <v>-1</v>
      </c>
      <c r="F111">
        <v>1</v>
      </c>
      <c r="G111">
        <v>-1</v>
      </c>
      <c r="H111">
        <v>-1</v>
      </c>
      <c r="P111">
        <f t="shared" si="16"/>
        <v>-2.4330931253926411</v>
      </c>
      <c r="Q111">
        <f t="shared" si="13"/>
        <v>8.7764944329027011E-2</v>
      </c>
      <c r="R111">
        <v>325</v>
      </c>
      <c r="S111">
        <v>326</v>
      </c>
      <c r="T111">
        <v>327</v>
      </c>
      <c r="U111">
        <f t="shared" ca="1" si="17"/>
        <v>8.7764944329027011E-2</v>
      </c>
      <c r="V111">
        <f t="shared" ca="1" si="17"/>
        <v>0.38005561415131528</v>
      </c>
      <c r="W111">
        <f t="shared" ca="1" si="17"/>
        <v>1.7116707737529904</v>
      </c>
      <c r="X111">
        <f t="shared" ca="1" si="18"/>
        <v>4.0268544788886106E-2</v>
      </c>
      <c r="Y111">
        <f t="shared" ca="1" si="20"/>
        <v>0.17437812600147892</v>
      </c>
      <c r="Z111">
        <f t="shared" ca="1" si="14"/>
        <v>0.78535332920963485</v>
      </c>
      <c r="AA111">
        <f t="shared" ca="1" si="19"/>
        <v>1</v>
      </c>
      <c r="AB111">
        <f t="shared" ca="1" si="19"/>
        <v>0</v>
      </c>
      <c r="AC111">
        <f t="shared" ca="1" si="19"/>
        <v>0</v>
      </c>
      <c r="AD111">
        <f t="shared" ca="1" si="15"/>
        <v>-3.2121846411291428</v>
      </c>
      <c r="AE111">
        <f t="shared" ca="1" si="15"/>
        <v>0</v>
      </c>
      <c r="AF111">
        <f t="shared" ca="1" si="15"/>
        <v>0</v>
      </c>
    </row>
    <row r="112" spans="1:32" x14ac:dyDescent="0.25">
      <c r="A112">
        <v>401</v>
      </c>
      <c r="B112">
        <v>0</v>
      </c>
      <c r="C112">
        <v>1</v>
      </c>
      <c r="D112">
        <v>0</v>
      </c>
      <c r="E112">
        <v>1</v>
      </c>
      <c r="F112">
        <v>-1</v>
      </c>
      <c r="G112">
        <v>-1</v>
      </c>
      <c r="H112">
        <v>-1</v>
      </c>
      <c r="P112">
        <f t="shared" si="16"/>
        <v>-0.96743768394048846</v>
      </c>
      <c r="Q112">
        <f t="shared" si="13"/>
        <v>0.38005561415131528</v>
      </c>
      <c r="R112">
        <v>328</v>
      </c>
      <c r="S112">
        <v>329</v>
      </c>
      <c r="T112">
        <v>330</v>
      </c>
      <c r="U112">
        <f t="shared" ca="1" si="17"/>
        <v>0.17225309005907632</v>
      </c>
      <c r="V112">
        <f t="shared" ca="1" si="17"/>
        <v>7.2142796641606211</v>
      </c>
      <c r="W112">
        <f t="shared" ca="1" si="17"/>
        <v>11.751342512917736</v>
      </c>
      <c r="X112">
        <f t="shared" ca="1" si="18"/>
        <v>9.000638140580863E-3</v>
      </c>
      <c r="Y112">
        <f t="shared" ca="1" si="20"/>
        <v>0.37696345928999803</v>
      </c>
      <c r="Z112">
        <f t="shared" ca="1" si="14"/>
        <v>0.6140359025694212</v>
      </c>
      <c r="AA112">
        <f t="shared" ca="1" si="19"/>
        <v>1</v>
      </c>
      <c r="AB112">
        <f t="shared" ca="1" si="19"/>
        <v>0</v>
      </c>
      <c r="AC112">
        <f t="shared" ca="1" si="19"/>
        <v>0</v>
      </c>
      <c r="AD112">
        <f t="shared" ca="1" si="15"/>
        <v>-4.7104597996505388</v>
      </c>
      <c r="AE112">
        <f t="shared" ca="1" si="15"/>
        <v>0</v>
      </c>
      <c r="AF112">
        <f t="shared" ca="1" si="15"/>
        <v>0</v>
      </c>
    </row>
    <row r="113" spans="1:32" x14ac:dyDescent="0.25">
      <c r="A113">
        <v>401</v>
      </c>
      <c r="B113">
        <v>1</v>
      </c>
      <c r="C113">
        <v>0</v>
      </c>
      <c r="D113">
        <v>1</v>
      </c>
      <c r="E113">
        <v>1</v>
      </c>
      <c r="F113">
        <v>1</v>
      </c>
      <c r="G113">
        <v>1</v>
      </c>
      <c r="H113">
        <v>0</v>
      </c>
      <c r="P113">
        <f t="shared" si="16"/>
        <v>0.53746995417573973</v>
      </c>
      <c r="Q113">
        <f t="shared" si="13"/>
        <v>1.7116707737529904</v>
      </c>
      <c r="R113">
        <v>331</v>
      </c>
      <c r="S113">
        <v>332</v>
      </c>
      <c r="T113">
        <v>333</v>
      </c>
      <c r="U113">
        <f t="shared" ca="1" si="17"/>
        <v>7.2142796641606211</v>
      </c>
      <c r="V113">
        <f t="shared" ca="1" si="17"/>
        <v>1.2374814257516533</v>
      </c>
      <c r="W113">
        <f t="shared" ca="1" si="17"/>
        <v>0.38005561415131528</v>
      </c>
      <c r="X113">
        <f t="shared" ca="1" si="18"/>
        <v>0.81685115372030681</v>
      </c>
      <c r="Y113">
        <f t="shared" ca="1" si="20"/>
        <v>0.14011629398765468</v>
      </c>
      <c r="Z113">
        <f t="shared" ca="1" si="14"/>
        <v>4.3032552292038471E-2</v>
      </c>
      <c r="AA113">
        <f t="shared" ca="1" si="19"/>
        <v>0</v>
      </c>
      <c r="AB113">
        <f t="shared" ca="1" si="19"/>
        <v>1</v>
      </c>
      <c r="AC113">
        <f t="shared" ca="1" si="19"/>
        <v>0</v>
      </c>
      <c r="AD113">
        <f t="shared" ca="1" si="15"/>
        <v>0</v>
      </c>
      <c r="AE113">
        <f t="shared" ca="1" si="15"/>
        <v>-1.9652825298489405</v>
      </c>
      <c r="AF113">
        <f t="shared" ca="1" si="15"/>
        <v>0</v>
      </c>
    </row>
    <row r="114" spans="1:32" x14ac:dyDescent="0.25">
      <c r="A114">
        <v>402</v>
      </c>
      <c r="B114">
        <v>0</v>
      </c>
      <c r="C114">
        <v>0</v>
      </c>
      <c r="D114">
        <v>1</v>
      </c>
      <c r="E114">
        <v>1</v>
      </c>
      <c r="F114">
        <v>-1</v>
      </c>
      <c r="G114">
        <v>0</v>
      </c>
      <c r="H114">
        <v>1</v>
      </c>
      <c r="P114">
        <f t="shared" si="16"/>
        <v>-1.7587904298642194</v>
      </c>
      <c r="Q114">
        <f t="shared" si="13"/>
        <v>0.17225309005907632</v>
      </c>
      <c r="R114">
        <v>334</v>
      </c>
      <c r="S114">
        <v>335</v>
      </c>
      <c r="T114">
        <v>336</v>
      </c>
      <c r="U114">
        <f t="shared" ca="1" si="17"/>
        <v>0.38005561415131528</v>
      </c>
      <c r="V114">
        <f t="shared" ca="1" si="17"/>
        <v>0.63910087950999117</v>
      </c>
      <c r="W114">
        <f t="shared" ca="1" si="17"/>
        <v>7.2142796641606211</v>
      </c>
      <c r="X114">
        <f t="shared" ca="1" si="18"/>
        <v>4.6160024425555897E-2</v>
      </c>
      <c r="Y114">
        <f t="shared" ca="1" si="20"/>
        <v>7.7622619190753389E-2</v>
      </c>
      <c r="Z114">
        <f t="shared" ca="1" si="14"/>
        <v>0.87621735638369069</v>
      </c>
      <c r="AA114">
        <f t="shared" ca="1" si="19"/>
        <v>0</v>
      </c>
      <c r="AB114">
        <f t="shared" ca="1" si="19"/>
        <v>1</v>
      </c>
      <c r="AC114">
        <f t="shared" ca="1" si="19"/>
        <v>0</v>
      </c>
      <c r="AD114">
        <f t="shared" ca="1" si="15"/>
        <v>0</v>
      </c>
      <c r="AE114">
        <f t="shared" ca="1" si="15"/>
        <v>-2.5558964098493684</v>
      </c>
      <c r="AF114">
        <f t="shared" ca="1" si="15"/>
        <v>0</v>
      </c>
    </row>
    <row r="115" spans="1:32" x14ac:dyDescent="0.25">
      <c r="A115">
        <v>402</v>
      </c>
      <c r="B115">
        <v>0</v>
      </c>
      <c r="C115">
        <v>1</v>
      </c>
      <c r="D115">
        <v>0</v>
      </c>
      <c r="E115">
        <v>-1</v>
      </c>
      <c r="F115">
        <v>-1</v>
      </c>
      <c r="G115">
        <v>1</v>
      </c>
      <c r="H115">
        <v>0</v>
      </c>
      <c r="P115">
        <f t="shared" si="16"/>
        <v>1.9760623485944482</v>
      </c>
      <c r="Q115">
        <f t="shared" si="13"/>
        <v>7.2142796641606211</v>
      </c>
      <c r="R115">
        <v>337</v>
      </c>
      <c r="S115">
        <v>338</v>
      </c>
      <c r="T115">
        <v>339</v>
      </c>
      <c r="U115">
        <f t="shared" ca="1" si="17"/>
        <v>7.5491384789895326</v>
      </c>
      <c r="V115">
        <f t="shared" ca="1" si="17"/>
        <v>1.7116707737529904</v>
      </c>
      <c r="W115">
        <f t="shared" ca="1" si="17"/>
        <v>1.8748885193273188</v>
      </c>
      <c r="X115">
        <f t="shared" ca="1" si="18"/>
        <v>0.67792235686604319</v>
      </c>
      <c r="Y115">
        <f t="shared" ca="1" si="20"/>
        <v>0.15371023969832781</v>
      </c>
      <c r="Z115">
        <f t="shared" ca="1" si="14"/>
        <v>0.16836740343562906</v>
      </c>
      <c r="AA115">
        <f t="shared" ca="1" si="19"/>
        <v>0</v>
      </c>
      <c r="AB115">
        <f t="shared" ca="1" si="19"/>
        <v>0</v>
      </c>
      <c r="AC115">
        <f t="shared" ca="1" si="19"/>
        <v>1</v>
      </c>
      <c r="AD115">
        <f t="shared" ca="1" si="15"/>
        <v>0</v>
      </c>
      <c r="AE115">
        <f t="shared" ca="1" si="15"/>
        <v>0</v>
      </c>
      <c r="AF115">
        <f t="shared" ca="1" si="15"/>
        <v>-1.7816067622070237</v>
      </c>
    </row>
    <row r="116" spans="1:32" x14ac:dyDescent="0.25">
      <c r="A116">
        <v>402</v>
      </c>
      <c r="B116">
        <v>1</v>
      </c>
      <c r="C116">
        <v>1</v>
      </c>
      <c r="D116">
        <v>0</v>
      </c>
      <c r="E116">
        <v>1</v>
      </c>
      <c r="F116">
        <v>1</v>
      </c>
      <c r="G116">
        <v>1</v>
      </c>
      <c r="H116">
        <v>0</v>
      </c>
      <c r="P116">
        <f t="shared" si="16"/>
        <v>2.4639674904819313</v>
      </c>
      <c r="Q116">
        <f t="shared" si="13"/>
        <v>11.751342512917736</v>
      </c>
      <c r="R116">
        <v>340</v>
      </c>
      <c r="S116">
        <v>341</v>
      </c>
      <c r="T116">
        <v>342</v>
      </c>
      <c r="U116">
        <f t="shared" ca="1" si="17"/>
        <v>1.8748885193273188</v>
      </c>
      <c r="V116">
        <f t="shared" ca="1" si="17"/>
        <v>0.17225309005907632</v>
      </c>
      <c r="W116">
        <f t="shared" ca="1" si="17"/>
        <v>8.7764944329027011E-2</v>
      </c>
      <c r="X116">
        <f t="shared" ca="1" si="18"/>
        <v>0.87820636273958297</v>
      </c>
      <c r="Y116">
        <f t="shared" ca="1" si="20"/>
        <v>8.0684135687016711E-2</v>
      </c>
      <c r="Z116">
        <f t="shared" ca="1" si="14"/>
        <v>4.1109501573400424E-2</v>
      </c>
      <c r="AA116">
        <f t="shared" ca="1" si="19"/>
        <v>1</v>
      </c>
      <c r="AB116">
        <f t="shared" ca="1" si="19"/>
        <v>0</v>
      </c>
      <c r="AC116">
        <f t="shared" ca="1" si="19"/>
        <v>0</v>
      </c>
      <c r="AD116">
        <f t="shared" ca="1" si="15"/>
        <v>-0.12987367567513783</v>
      </c>
      <c r="AE116">
        <f t="shared" ca="1" si="15"/>
        <v>0</v>
      </c>
      <c r="AF116">
        <f t="shared" ca="1" si="15"/>
        <v>0</v>
      </c>
    </row>
    <row r="117" spans="1:32" x14ac:dyDescent="0.25">
      <c r="A117">
        <v>403</v>
      </c>
      <c r="B117">
        <v>1</v>
      </c>
      <c r="C117">
        <v>1</v>
      </c>
      <c r="D117">
        <v>0</v>
      </c>
      <c r="E117">
        <v>-1</v>
      </c>
      <c r="F117">
        <v>-1</v>
      </c>
      <c r="G117">
        <v>1</v>
      </c>
      <c r="H117">
        <v>0</v>
      </c>
      <c r="P117">
        <f t="shared" si="16"/>
        <v>1.9760623485944482</v>
      </c>
      <c r="Q117">
        <f t="shared" si="13"/>
        <v>7.2142796641606211</v>
      </c>
      <c r="R117">
        <v>343</v>
      </c>
      <c r="S117">
        <v>344</v>
      </c>
      <c r="T117">
        <v>345</v>
      </c>
      <c r="U117">
        <f t="shared" ca="1" si="17"/>
        <v>1.9619135553315648</v>
      </c>
      <c r="V117">
        <f t="shared" ca="1" si="17"/>
        <v>5.4613905795243362E-2</v>
      </c>
      <c r="W117">
        <f t="shared" ca="1" si="17"/>
        <v>0.63910087950999117</v>
      </c>
      <c r="X117">
        <f t="shared" ca="1" si="18"/>
        <v>0.73877565068503259</v>
      </c>
      <c r="Y117">
        <f t="shared" ca="1" si="20"/>
        <v>2.0565342280594642E-2</v>
      </c>
      <c r="Z117">
        <f t="shared" ca="1" si="14"/>
        <v>0.24065900703437276</v>
      </c>
      <c r="AA117">
        <f t="shared" ca="1" si="19"/>
        <v>0</v>
      </c>
      <c r="AB117">
        <f t="shared" ca="1" si="19"/>
        <v>0</v>
      </c>
      <c r="AC117">
        <f t="shared" ca="1" si="19"/>
        <v>1</v>
      </c>
      <c r="AD117">
        <f t="shared" ca="1" si="15"/>
        <v>0</v>
      </c>
      <c r="AE117">
        <f t="shared" ca="1" si="15"/>
        <v>0</v>
      </c>
      <c r="AF117">
        <f t="shared" ca="1" si="15"/>
        <v>-1.4243742559908845</v>
      </c>
    </row>
    <row r="118" spans="1:32" x14ac:dyDescent="0.25">
      <c r="A118">
        <v>403</v>
      </c>
      <c r="B118">
        <v>0</v>
      </c>
      <c r="C118">
        <v>-1</v>
      </c>
      <c r="D118">
        <v>-1</v>
      </c>
      <c r="E118">
        <v>1</v>
      </c>
      <c r="F118">
        <v>-1</v>
      </c>
      <c r="G118">
        <v>0</v>
      </c>
      <c r="H118">
        <v>1</v>
      </c>
      <c r="P118">
        <f t="shared" si="16"/>
        <v>0.21307820585445134</v>
      </c>
      <c r="Q118">
        <f t="shared" si="13"/>
        <v>1.2374814257516533</v>
      </c>
      <c r="R118">
        <v>346</v>
      </c>
      <c r="S118">
        <v>347</v>
      </c>
      <c r="T118">
        <v>348</v>
      </c>
      <c r="U118">
        <f t="shared" ca="1" si="17"/>
        <v>11.751342512917736</v>
      </c>
      <c r="V118">
        <f t="shared" ca="1" si="17"/>
        <v>1.8748885193273188</v>
      </c>
      <c r="W118">
        <f t="shared" ca="1" si="17"/>
        <v>7.5491384789895326</v>
      </c>
      <c r="X118">
        <f t="shared" ca="1" si="18"/>
        <v>0.55495336252257899</v>
      </c>
      <c r="Y118">
        <f t="shared" ca="1" si="20"/>
        <v>8.8541006017986937E-2</v>
      </c>
      <c r="Z118">
        <f t="shared" ca="1" si="14"/>
        <v>0.35650563145943398</v>
      </c>
      <c r="AA118">
        <f t="shared" ca="1" si="19"/>
        <v>0</v>
      </c>
      <c r="AB118">
        <f t="shared" ca="1" si="19"/>
        <v>1</v>
      </c>
      <c r="AC118">
        <f t="shared" ca="1" si="19"/>
        <v>0</v>
      </c>
      <c r="AD118">
        <f t="shared" ca="1" si="15"/>
        <v>0</v>
      </c>
      <c r="AE118">
        <f t="shared" ca="1" si="15"/>
        <v>-2.4242894894433142</v>
      </c>
      <c r="AF118">
        <f t="shared" ca="1" si="15"/>
        <v>0</v>
      </c>
    </row>
    <row r="119" spans="1:32" x14ac:dyDescent="0.25">
      <c r="A119">
        <v>403</v>
      </c>
      <c r="B119">
        <v>0</v>
      </c>
      <c r="C119">
        <v>1</v>
      </c>
      <c r="D119">
        <v>0</v>
      </c>
      <c r="E119">
        <v>1</v>
      </c>
      <c r="F119">
        <v>-1</v>
      </c>
      <c r="G119">
        <v>-1</v>
      </c>
      <c r="H119">
        <v>-1</v>
      </c>
      <c r="P119">
        <f t="shared" si="16"/>
        <v>-0.96743768394048846</v>
      </c>
      <c r="Q119">
        <f t="shared" si="13"/>
        <v>0.38005561415131528</v>
      </c>
      <c r="R119">
        <v>349</v>
      </c>
      <c r="S119">
        <v>350</v>
      </c>
      <c r="T119">
        <v>351</v>
      </c>
      <c r="U119">
        <f t="shared" ca="1" si="17"/>
        <v>5.4613905795243362E-2</v>
      </c>
      <c r="V119">
        <f t="shared" ca="1" si="17"/>
        <v>8.7764944329027011E-2</v>
      </c>
      <c r="W119">
        <f t="shared" ca="1" si="17"/>
        <v>0.17225309005907632</v>
      </c>
      <c r="X119">
        <f t="shared" ca="1" si="18"/>
        <v>0.17358029754836074</v>
      </c>
      <c r="Y119">
        <f t="shared" ca="1" si="20"/>
        <v>0.27894480222790918</v>
      </c>
      <c r="Z119">
        <f t="shared" ca="1" si="14"/>
        <v>0.54747490022373002</v>
      </c>
      <c r="AA119">
        <f t="shared" ca="1" si="19"/>
        <v>0</v>
      </c>
      <c r="AB119">
        <f t="shared" ca="1" si="19"/>
        <v>1</v>
      </c>
      <c r="AC119">
        <f t="shared" ca="1" si="19"/>
        <v>0</v>
      </c>
      <c r="AD119">
        <f t="shared" ca="1" si="15"/>
        <v>0</v>
      </c>
      <c r="AE119">
        <f t="shared" ca="1" si="15"/>
        <v>-1.2767413582110061</v>
      </c>
      <c r="AF119">
        <f t="shared" ca="1" si="15"/>
        <v>0</v>
      </c>
    </row>
    <row r="120" spans="1:32" x14ac:dyDescent="0.25">
      <c r="A120">
        <v>404</v>
      </c>
      <c r="B120">
        <v>0</v>
      </c>
      <c r="C120">
        <v>1</v>
      </c>
      <c r="D120">
        <v>0</v>
      </c>
      <c r="E120">
        <v>1</v>
      </c>
      <c r="F120">
        <v>-1</v>
      </c>
      <c r="G120">
        <v>-1</v>
      </c>
      <c r="H120">
        <v>-1</v>
      </c>
      <c r="P120">
        <f t="shared" si="16"/>
        <v>-0.96743768394048846</v>
      </c>
      <c r="Q120">
        <f t="shared" si="13"/>
        <v>0.38005561415131528</v>
      </c>
      <c r="R120">
        <v>352</v>
      </c>
      <c r="S120">
        <v>353</v>
      </c>
      <c r="T120">
        <v>354</v>
      </c>
      <c r="U120">
        <f t="shared" ca="1" si="17"/>
        <v>1.7116707737529904</v>
      </c>
      <c r="V120">
        <f t="shared" ca="1" si="17"/>
        <v>7.5491384789895326</v>
      </c>
      <c r="W120">
        <f t="shared" ca="1" si="17"/>
        <v>1.9619135553315648</v>
      </c>
      <c r="X120">
        <f t="shared" ca="1" si="18"/>
        <v>0.15251831512060016</v>
      </c>
      <c r="Y120">
        <f t="shared" ca="1" si="20"/>
        <v>0.67266550266735381</v>
      </c>
      <c r="Z120">
        <f t="shared" ca="1" si="14"/>
        <v>0.17481618221204606</v>
      </c>
      <c r="AA120">
        <f t="shared" ca="1" si="19"/>
        <v>0</v>
      </c>
      <c r="AB120">
        <f t="shared" ca="1" si="19"/>
        <v>1</v>
      </c>
      <c r="AC120">
        <f t="shared" ca="1" si="19"/>
        <v>0</v>
      </c>
      <c r="AD120">
        <f t="shared" ca="1" si="15"/>
        <v>0</v>
      </c>
      <c r="AE120">
        <f t="shared" ca="1" si="15"/>
        <v>-0.39650709716333266</v>
      </c>
      <c r="AF120">
        <f t="shared" ca="1" si="15"/>
        <v>0</v>
      </c>
    </row>
    <row r="121" spans="1:32" x14ac:dyDescent="0.25">
      <c r="A121">
        <v>404</v>
      </c>
      <c r="B121">
        <v>0</v>
      </c>
      <c r="C121">
        <v>-1</v>
      </c>
      <c r="D121">
        <v>-1</v>
      </c>
      <c r="E121">
        <v>1</v>
      </c>
      <c r="F121">
        <v>1</v>
      </c>
      <c r="G121">
        <v>-1</v>
      </c>
      <c r="H121">
        <v>-1</v>
      </c>
      <c r="P121">
        <f t="shared" si="16"/>
        <v>-0.44769296615724818</v>
      </c>
      <c r="Q121">
        <f t="shared" si="13"/>
        <v>0.63910087950999117</v>
      </c>
      <c r="R121">
        <v>355</v>
      </c>
      <c r="S121">
        <v>356</v>
      </c>
      <c r="T121">
        <v>357</v>
      </c>
      <c r="U121">
        <f t="shared" ca="1" si="17"/>
        <v>1.2374814257516533</v>
      </c>
      <c r="V121">
        <f t="shared" ca="1" si="17"/>
        <v>1.9619135553315648</v>
      </c>
      <c r="W121">
        <f t="shared" ca="1" si="17"/>
        <v>5.4613905795243362E-2</v>
      </c>
      <c r="X121">
        <f t="shared" ca="1" si="18"/>
        <v>0.38029442105757644</v>
      </c>
      <c r="Y121">
        <f t="shared" ca="1" si="20"/>
        <v>0.60292200283866126</v>
      </c>
      <c r="Z121">
        <f t="shared" ca="1" si="14"/>
        <v>1.6783576103762254E-2</v>
      </c>
      <c r="AA121">
        <f t="shared" ca="1" si="19"/>
        <v>1</v>
      </c>
      <c r="AB121">
        <f t="shared" ca="1" si="19"/>
        <v>0</v>
      </c>
      <c r="AC121">
        <f t="shared" ca="1" si="19"/>
        <v>0</v>
      </c>
      <c r="AD121">
        <f t="shared" ca="1" si="15"/>
        <v>-0.96680953400149938</v>
      </c>
      <c r="AE121">
        <f t="shared" ca="1" si="15"/>
        <v>0</v>
      </c>
      <c r="AF121">
        <f t="shared" ca="1" si="15"/>
        <v>0</v>
      </c>
    </row>
    <row r="122" spans="1:32" x14ac:dyDescent="0.25">
      <c r="A122">
        <v>404</v>
      </c>
      <c r="B122">
        <v>1</v>
      </c>
      <c r="C122">
        <v>1</v>
      </c>
      <c r="D122">
        <v>0</v>
      </c>
      <c r="E122">
        <v>-1</v>
      </c>
      <c r="F122">
        <v>-1</v>
      </c>
      <c r="G122">
        <v>1</v>
      </c>
      <c r="H122">
        <v>0</v>
      </c>
      <c r="P122">
        <f t="shared" si="16"/>
        <v>1.9760623485944482</v>
      </c>
      <c r="Q122">
        <f t="shared" si="13"/>
        <v>7.2142796641606211</v>
      </c>
      <c r="R122">
        <v>358</v>
      </c>
      <c r="S122">
        <v>359</v>
      </c>
      <c r="T122">
        <v>360</v>
      </c>
      <c r="U122">
        <f t="shared" ca="1" si="17"/>
        <v>0.63910087950999117</v>
      </c>
      <c r="V122">
        <f t="shared" ca="1" si="17"/>
        <v>11.751342512917736</v>
      </c>
      <c r="W122">
        <f t="shared" ca="1" si="17"/>
        <v>1.2374814257516533</v>
      </c>
      <c r="X122">
        <f t="shared" ca="1" si="18"/>
        <v>4.6896419523641875E-2</v>
      </c>
      <c r="Y122">
        <f t="shared" ca="1" si="20"/>
        <v>0.86229874832019027</v>
      </c>
      <c r="Z122">
        <f t="shared" ca="1" si="14"/>
        <v>9.0804832156167886E-2</v>
      </c>
      <c r="AA122">
        <f t="shared" ca="1" si="19"/>
        <v>1</v>
      </c>
      <c r="AB122">
        <f t="shared" ca="1" si="19"/>
        <v>0</v>
      </c>
      <c r="AC122">
        <f t="shared" ca="1" si="19"/>
        <v>0</v>
      </c>
      <c r="AD122">
        <f t="shared" ca="1" si="15"/>
        <v>-3.0598139492236527</v>
      </c>
      <c r="AE122">
        <f t="shared" ca="1" si="15"/>
        <v>0</v>
      </c>
      <c r="AF122">
        <f t="shared" ca="1" si="15"/>
        <v>0</v>
      </c>
    </row>
    <row r="123" spans="1:32" x14ac:dyDescent="0.25">
      <c r="A123">
        <v>405</v>
      </c>
      <c r="B123">
        <v>1</v>
      </c>
      <c r="C123">
        <v>-1</v>
      </c>
      <c r="D123">
        <v>-1</v>
      </c>
      <c r="E123">
        <v>-1</v>
      </c>
      <c r="F123">
        <v>-1</v>
      </c>
      <c r="G123">
        <v>1</v>
      </c>
      <c r="H123">
        <v>0</v>
      </c>
      <c r="P123">
        <f t="shared" si="16"/>
        <v>2.0214334480069271</v>
      </c>
      <c r="Q123">
        <f t="shared" si="13"/>
        <v>7.5491384789895326</v>
      </c>
    </row>
    <row r="124" spans="1:32" x14ac:dyDescent="0.25">
      <c r="A124">
        <v>405</v>
      </c>
      <c r="B124">
        <v>0</v>
      </c>
      <c r="C124">
        <v>0</v>
      </c>
      <c r="D124">
        <v>1</v>
      </c>
      <c r="E124">
        <v>1</v>
      </c>
      <c r="F124">
        <v>1</v>
      </c>
      <c r="G124">
        <v>1</v>
      </c>
      <c r="H124">
        <v>0</v>
      </c>
      <c r="P124">
        <f t="shared" si="16"/>
        <v>0.53746995417573973</v>
      </c>
      <c r="Q124">
        <f t="shared" si="13"/>
        <v>1.7116707737529904</v>
      </c>
    </row>
    <row r="125" spans="1:32" x14ac:dyDescent="0.25">
      <c r="A125">
        <v>405</v>
      </c>
      <c r="B125">
        <v>0</v>
      </c>
      <c r="C125">
        <v>1</v>
      </c>
      <c r="D125">
        <v>0</v>
      </c>
      <c r="E125">
        <v>-1</v>
      </c>
      <c r="F125">
        <v>1</v>
      </c>
      <c r="G125">
        <v>0</v>
      </c>
      <c r="H125">
        <v>1</v>
      </c>
      <c r="P125">
        <f t="shared" si="16"/>
        <v>0.62854920129601144</v>
      </c>
      <c r="Q125">
        <f t="shared" si="13"/>
        <v>1.8748885193273188</v>
      </c>
    </row>
    <row r="126" spans="1:32" x14ac:dyDescent="0.25">
      <c r="A126">
        <v>406</v>
      </c>
      <c r="B126">
        <v>1</v>
      </c>
      <c r="C126">
        <v>1</v>
      </c>
      <c r="D126">
        <v>0</v>
      </c>
      <c r="E126">
        <v>-1</v>
      </c>
      <c r="F126">
        <v>1</v>
      </c>
      <c r="G126">
        <v>0</v>
      </c>
      <c r="H126">
        <v>1</v>
      </c>
      <c r="P126">
        <f t="shared" si="16"/>
        <v>0.62854920129601144</v>
      </c>
      <c r="Q126">
        <f t="shared" si="13"/>
        <v>1.8748885193273188</v>
      </c>
    </row>
    <row r="127" spans="1:32" x14ac:dyDescent="0.25">
      <c r="A127">
        <v>406</v>
      </c>
      <c r="B127">
        <v>0</v>
      </c>
      <c r="C127">
        <v>0</v>
      </c>
      <c r="D127">
        <v>1</v>
      </c>
      <c r="E127">
        <v>1</v>
      </c>
      <c r="F127">
        <v>-1</v>
      </c>
      <c r="G127">
        <v>0</v>
      </c>
      <c r="H127">
        <v>1</v>
      </c>
      <c r="P127">
        <f t="shared" si="16"/>
        <v>-1.7587904298642194</v>
      </c>
      <c r="Q127">
        <f t="shared" si="13"/>
        <v>0.17225309005907632</v>
      </c>
    </row>
    <row r="128" spans="1:32" x14ac:dyDescent="0.25">
      <c r="A128">
        <v>406</v>
      </c>
      <c r="B128">
        <v>0</v>
      </c>
      <c r="C128">
        <v>0</v>
      </c>
      <c r="D128">
        <v>1</v>
      </c>
      <c r="E128">
        <v>-1</v>
      </c>
      <c r="F128">
        <v>1</v>
      </c>
      <c r="G128">
        <v>-1</v>
      </c>
      <c r="H128">
        <v>-1</v>
      </c>
      <c r="P128">
        <f t="shared" si="16"/>
        <v>-2.4330931253926411</v>
      </c>
      <c r="Q128">
        <f t="shared" si="13"/>
        <v>8.7764944329027011E-2</v>
      </c>
    </row>
    <row r="129" spans="1:17" x14ac:dyDescent="0.25">
      <c r="A129">
        <v>407</v>
      </c>
      <c r="B129">
        <v>1</v>
      </c>
      <c r="C129">
        <v>-1</v>
      </c>
      <c r="D129">
        <v>-1</v>
      </c>
      <c r="E129">
        <v>-1</v>
      </c>
      <c r="F129">
        <v>1</v>
      </c>
      <c r="G129">
        <v>0</v>
      </c>
      <c r="H129">
        <v>1</v>
      </c>
      <c r="P129">
        <f t="shared" si="16"/>
        <v>0.67392030070849041</v>
      </c>
      <c r="Q129">
        <f t="shared" si="13"/>
        <v>1.9619135553315648</v>
      </c>
    </row>
    <row r="130" spans="1:17" x14ac:dyDescent="0.25">
      <c r="A130">
        <v>407</v>
      </c>
      <c r="B130">
        <v>0</v>
      </c>
      <c r="C130">
        <v>0</v>
      </c>
      <c r="D130">
        <v>1</v>
      </c>
      <c r="E130">
        <v>-1</v>
      </c>
      <c r="F130">
        <v>-1</v>
      </c>
      <c r="G130">
        <v>-1</v>
      </c>
      <c r="H130">
        <v>-1</v>
      </c>
      <c r="P130">
        <f t="shared" si="16"/>
        <v>-2.9074667437634028</v>
      </c>
      <c r="Q130">
        <f t="shared" si="13"/>
        <v>5.4613905795243362E-2</v>
      </c>
    </row>
    <row r="131" spans="1:17" x14ac:dyDescent="0.25">
      <c r="A131">
        <v>407</v>
      </c>
      <c r="B131">
        <v>0</v>
      </c>
      <c r="C131">
        <v>-1</v>
      </c>
      <c r="D131">
        <v>-1</v>
      </c>
      <c r="E131">
        <v>1</v>
      </c>
      <c r="F131">
        <v>1</v>
      </c>
      <c r="G131">
        <v>-1</v>
      </c>
      <c r="H131">
        <v>-1</v>
      </c>
      <c r="P131">
        <f t="shared" si="16"/>
        <v>-0.44769296615724818</v>
      </c>
      <c r="Q131">
        <f t="shared" si="13"/>
        <v>0.63910087950999117</v>
      </c>
    </row>
    <row r="132" spans="1:17" x14ac:dyDescent="0.25">
      <c r="A132">
        <v>408</v>
      </c>
      <c r="B132">
        <v>1</v>
      </c>
      <c r="C132">
        <v>1</v>
      </c>
      <c r="D132">
        <v>0</v>
      </c>
      <c r="E132">
        <v>1</v>
      </c>
      <c r="F132">
        <v>1</v>
      </c>
      <c r="G132">
        <v>1</v>
      </c>
      <c r="H132">
        <v>0</v>
      </c>
      <c r="P132">
        <f t="shared" si="16"/>
        <v>2.4639674904819313</v>
      </c>
      <c r="Q132">
        <f t="shared" ref="Q132:Q195" si="21">EXP(P132)</f>
        <v>11.751342512917736</v>
      </c>
    </row>
    <row r="133" spans="1:17" x14ac:dyDescent="0.25">
      <c r="A133">
        <v>408</v>
      </c>
      <c r="B133">
        <v>0</v>
      </c>
      <c r="C133">
        <v>1</v>
      </c>
      <c r="D133">
        <v>0</v>
      </c>
      <c r="E133">
        <v>-1</v>
      </c>
      <c r="F133">
        <v>1</v>
      </c>
      <c r="G133">
        <v>0</v>
      </c>
      <c r="H133">
        <v>1</v>
      </c>
      <c r="P133">
        <f t="shared" ref="P133:P196" si="22">SUMPRODUCT(C133:H133,$J$3:$O$3)</f>
        <v>0.62854920129601144</v>
      </c>
      <c r="Q133">
        <f t="shared" si="21"/>
        <v>1.8748885193273188</v>
      </c>
    </row>
    <row r="134" spans="1:17" x14ac:dyDescent="0.25">
      <c r="A134">
        <v>408</v>
      </c>
      <c r="B134">
        <v>0</v>
      </c>
      <c r="C134">
        <v>-1</v>
      </c>
      <c r="D134">
        <v>-1</v>
      </c>
      <c r="E134">
        <v>-1</v>
      </c>
      <c r="F134">
        <v>-1</v>
      </c>
      <c r="G134">
        <v>1</v>
      </c>
      <c r="H134">
        <v>0</v>
      </c>
      <c r="P134">
        <f t="shared" si="22"/>
        <v>2.0214334480069271</v>
      </c>
      <c r="Q134">
        <f t="shared" si="21"/>
        <v>7.5491384789895326</v>
      </c>
    </row>
    <row r="135" spans="1:17" x14ac:dyDescent="0.25">
      <c r="A135">
        <v>409</v>
      </c>
      <c r="B135">
        <v>0</v>
      </c>
      <c r="C135">
        <v>0</v>
      </c>
      <c r="D135">
        <v>1</v>
      </c>
      <c r="E135">
        <v>-1</v>
      </c>
      <c r="F135">
        <v>-1</v>
      </c>
      <c r="G135">
        <v>-1</v>
      </c>
      <c r="H135">
        <v>-1</v>
      </c>
      <c r="P135">
        <f t="shared" si="22"/>
        <v>-2.9074667437634028</v>
      </c>
      <c r="Q135">
        <f t="shared" si="21"/>
        <v>5.4613905795243362E-2</v>
      </c>
    </row>
    <row r="136" spans="1:17" x14ac:dyDescent="0.25">
      <c r="A136">
        <v>409</v>
      </c>
      <c r="B136">
        <v>0</v>
      </c>
      <c r="C136">
        <v>0</v>
      </c>
      <c r="D136">
        <v>1</v>
      </c>
      <c r="E136">
        <v>-1</v>
      </c>
      <c r="F136">
        <v>1</v>
      </c>
      <c r="G136">
        <v>-1</v>
      </c>
      <c r="H136">
        <v>-1</v>
      </c>
      <c r="P136">
        <f t="shared" si="22"/>
        <v>-2.4330931253926411</v>
      </c>
      <c r="Q136">
        <f t="shared" si="21"/>
        <v>8.7764944329027011E-2</v>
      </c>
    </row>
    <row r="137" spans="1:17" x14ac:dyDescent="0.25">
      <c r="A137">
        <v>409</v>
      </c>
      <c r="B137">
        <v>1</v>
      </c>
      <c r="C137">
        <v>0</v>
      </c>
      <c r="D137">
        <v>1</v>
      </c>
      <c r="E137">
        <v>1</v>
      </c>
      <c r="F137">
        <v>-1</v>
      </c>
      <c r="G137">
        <v>0</v>
      </c>
      <c r="H137">
        <v>1</v>
      </c>
      <c r="P137">
        <f t="shared" si="22"/>
        <v>-1.7587904298642194</v>
      </c>
      <c r="Q137">
        <f t="shared" si="21"/>
        <v>0.17225309005907632</v>
      </c>
    </row>
    <row r="138" spans="1:17" x14ac:dyDescent="0.25">
      <c r="A138">
        <v>410</v>
      </c>
      <c r="B138">
        <v>0</v>
      </c>
      <c r="C138">
        <v>0</v>
      </c>
      <c r="D138">
        <v>1</v>
      </c>
      <c r="E138">
        <v>1</v>
      </c>
      <c r="F138">
        <v>1</v>
      </c>
      <c r="G138">
        <v>1</v>
      </c>
      <c r="H138">
        <v>0</v>
      </c>
      <c r="P138">
        <f t="shared" si="22"/>
        <v>0.53746995417573973</v>
      </c>
      <c r="Q138">
        <f t="shared" si="21"/>
        <v>1.7116707737529904</v>
      </c>
    </row>
    <row r="139" spans="1:17" x14ac:dyDescent="0.25">
      <c r="A139">
        <v>410</v>
      </c>
      <c r="B139">
        <v>1</v>
      </c>
      <c r="C139">
        <v>-1</v>
      </c>
      <c r="D139">
        <v>-1</v>
      </c>
      <c r="E139">
        <v>-1</v>
      </c>
      <c r="F139">
        <v>-1</v>
      </c>
      <c r="G139">
        <v>1</v>
      </c>
      <c r="H139">
        <v>0</v>
      </c>
      <c r="P139">
        <f t="shared" si="22"/>
        <v>2.0214334480069271</v>
      </c>
      <c r="Q139">
        <f t="shared" si="21"/>
        <v>7.5491384789895326</v>
      </c>
    </row>
    <row r="140" spans="1:17" x14ac:dyDescent="0.25">
      <c r="A140">
        <v>410</v>
      </c>
      <c r="B140">
        <v>0</v>
      </c>
      <c r="C140">
        <v>-1</v>
      </c>
      <c r="D140">
        <v>-1</v>
      </c>
      <c r="E140">
        <v>-1</v>
      </c>
      <c r="F140">
        <v>1</v>
      </c>
      <c r="G140">
        <v>0</v>
      </c>
      <c r="H140">
        <v>1</v>
      </c>
      <c r="P140">
        <f t="shared" si="22"/>
        <v>0.67392030070849041</v>
      </c>
      <c r="Q140">
        <f t="shared" si="21"/>
        <v>1.9619135553315648</v>
      </c>
    </row>
    <row r="141" spans="1:17" x14ac:dyDescent="0.25">
      <c r="A141">
        <v>411</v>
      </c>
      <c r="B141">
        <v>0</v>
      </c>
      <c r="C141">
        <v>-1</v>
      </c>
      <c r="D141">
        <v>-1</v>
      </c>
      <c r="E141">
        <v>1</v>
      </c>
      <c r="F141">
        <v>-1</v>
      </c>
      <c r="G141">
        <v>0</v>
      </c>
      <c r="H141">
        <v>1</v>
      </c>
      <c r="P141">
        <f t="shared" si="22"/>
        <v>0.21307820585445134</v>
      </c>
      <c r="Q141">
        <f t="shared" si="21"/>
        <v>1.2374814257516533</v>
      </c>
    </row>
    <row r="142" spans="1:17" x14ac:dyDescent="0.25">
      <c r="A142">
        <v>411</v>
      </c>
      <c r="B142">
        <v>1</v>
      </c>
      <c r="C142">
        <v>-1</v>
      </c>
      <c r="D142">
        <v>-1</v>
      </c>
      <c r="E142">
        <v>-1</v>
      </c>
      <c r="F142">
        <v>1</v>
      </c>
      <c r="G142">
        <v>0</v>
      </c>
      <c r="H142">
        <v>1</v>
      </c>
      <c r="P142">
        <f t="shared" si="22"/>
        <v>0.67392030070849041</v>
      </c>
      <c r="Q142">
        <f t="shared" si="21"/>
        <v>1.9619135553315648</v>
      </c>
    </row>
    <row r="143" spans="1:17" x14ac:dyDescent="0.25">
      <c r="A143">
        <v>411</v>
      </c>
      <c r="B143">
        <v>0</v>
      </c>
      <c r="C143">
        <v>0</v>
      </c>
      <c r="D143">
        <v>1</v>
      </c>
      <c r="E143">
        <v>-1</v>
      </c>
      <c r="F143">
        <v>-1</v>
      </c>
      <c r="G143">
        <v>-1</v>
      </c>
      <c r="H143">
        <v>-1</v>
      </c>
      <c r="P143">
        <f t="shared" si="22"/>
        <v>-2.9074667437634028</v>
      </c>
      <c r="Q143">
        <f t="shared" si="21"/>
        <v>5.4613905795243362E-2</v>
      </c>
    </row>
    <row r="144" spans="1:17" x14ac:dyDescent="0.25">
      <c r="A144">
        <v>412</v>
      </c>
      <c r="B144">
        <v>0</v>
      </c>
      <c r="C144">
        <v>-1</v>
      </c>
      <c r="D144">
        <v>-1</v>
      </c>
      <c r="E144">
        <v>1</v>
      </c>
      <c r="F144">
        <v>1</v>
      </c>
      <c r="G144">
        <v>-1</v>
      </c>
      <c r="H144">
        <v>-1</v>
      </c>
      <c r="P144">
        <f t="shared" si="22"/>
        <v>-0.44769296615724818</v>
      </c>
      <c r="Q144">
        <f t="shared" si="21"/>
        <v>0.63910087950999117</v>
      </c>
    </row>
    <row r="145" spans="1:17" x14ac:dyDescent="0.25">
      <c r="A145">
        <v>412</v>
      </c>
      <c r="B145">
        <v>1</v>
      </c>
      <c r="C145">
        <v>1</v>
      </c>
      <c r="D145">
        <v>0</v>
      </c>
      <c r="E145">
        <v>1</v>
      </c>
      <c r="F145">
        <v>1</v>
      </c>
      <c r="G145">
        <v>1</v>
      </c>
      <c r="H145">
        <v>0</v>
      </c>
      <c r="P145">
        <f t="shared" si="22"/>
        <v>2.4639674904819313</v>
      </c>
      <c r="Q145">
        <f t="shared" si="21"/>
        <v>11.751342512917736</v>
      </c>
    </row>
    <row r="146" spans="1:17" x14ac:dyDescent="0.25">
      <c r="A146">
        <v>412</v>
      </c>
      <c r="B146">
        <v>0</v>
      </c>
      <c r="C146">
        <v>-1</v>
      </c>
      <c r="D146">
        <v>-1</v>
      </c>
      <c r="E146">
        <v>1</v>
      </c>
      <c r="F146">
        <v>-1</v>
      </c>
      <c r="G146">
        <v>0</v>
      </c>
      <c r="H146">
        <v>1</v>
      </c>
      <c r="P146">
        <f t="shared" si="22"/>
        <v>0.21307820585445134</v>
      </c>
      <c r="Q146">
        <f t="shared" si="21"/>
        <v>1.2374814257516533</v>
      </c>
    </row>
    <row r="147" spans="1:17" x14ac:dyDescent="0.25">
      <c r="A147">
        <v>501</v>
      </c>
      <c r="B147">
        <v>0</v>
      </c>
      <c r="C147">
        <v>0</v>
      </c>
      <c r="D147">
        <v>1</v>
      </c>
      <c r="E147">
        <v>-1</v>
      </c>
      <c r="F147">
        <v>1</v>
      </c>
      <c r="G147">
        <v>-1</v>
      </c>
      <c r="H147">
        <v>-1</v>
      </c>
      <c r="P147">
        <f t="shared" si="22"/>
        <v>-2.4330931253926411</v>
      </c>
      <c r="Q147">
        <f t="shared" si="21"/>
        <v>8.7764944329027011E-2</v>
      </c>
    </row>
    <row r="148" spans="1:17" x14ac:dyDescent="0.25">
      <c r="A148">
        <v>501</v>
      </c>
      <c r="B148">
        <v>0</v>
      </c>
      <c r="C148">
        <v>1</v>
      </c>
      <c r="D148">
        <v>0</v>
      </c>
      <c r="E148">
        <v>1</v>
      </c>
      <c r="F148">
        <v>-1</v>
      </c>
      <c r="G148">
        <v>-1</v>
      </c>
      <c r="H148">
        <v>-1</v>
      </c>
      <c r="P148">
        <f t="shared" si="22"/>
        <v>-0.96743768394048846</v>
      </c>
      <c r="Q148">
        <f t="shared" si="21"/>
        <v>0.38005561415131528</v>
      </c>
    </row>
    <row r="149" spans="1:17" x14ac:dyDescent="0.25">
      <c r="A149">
        <v>501</v>
      </c>
      <c r="B149">
        <v>1</v>
      </c>
      <c r="C149">
        <v>0</v>
      </c>
      <c r="D149">
        <v>1</v>
      </c>
      <c r="E149">
        <v>1</v>
      </c>
      <c r="F149">
        <v>1</v>
      </c>
      <c r="G149">
        <v>1</v>
      </c>
      <c r="H149">
        <v>0</v>
      </c>
      <c r="P149">
        <f t="shared" si="22"/>
        <v>0.53746995417573973</v>
      </c>
      <c r="Q149">
        <f t="shared" si="21"/>
        <v>1.7116707737529904</v>
      </c>
    </row>
    <row r="150" spans="1:17" x14ac:dyDescent="0.25">
      <c r="A150">
        <v>502</v>
      </c>
      <c r="B150">
        <v>0</v>
      </c>
      <c r="C150">
        <v>0</v>
      </c>
      <c r="D150">
        <v>1</v>
      </c>
      <c r="E150">
        <v>1</v>
      </c>
      <c r="F150">
        <v>-1</v>
      </c>
      <c r="G150">
        <v>0</v>
      </c>
      <c r="H150">
        <v>1</v>
      </c>
      <c r="P150">
        <f t="shared" si="22"/>
        <v>-1.7587904298642194</v>
      </c>
      <c r="Q150">
        <f t="shared" si="21"/>
        <v>0.17225309005907632</v>
      </c>
    </row>
    <row r="151" spans="1:17" x14ac:dyDescent="0.25">
      <c r="A151">
        <v>502</v>
      </c>
      <c r="B151">
        <v>0</v>
      </c>
      <c r="C151">
        <v>1</v>
      </c>
      <c r="D151">
        <v>0</v>
      </c>
      <c r="E151">
        <v>-1</v>
      </c>
      <c r="F151">
        <v>-1</v>
      </c>
      <c r="G151">
        <v>1</v>
      </c>
      <c r="H151">
        <v>0</v>
      </c>
      <c r="P151">
        <f t="shared" si="22"/>
        <v>1.9760623485944482</v>
      </c>
      <c r="Q151">
        <f t="shared" si="21"/>
        <v>7.2142796641606211</v>
      </c>
    </row>
    <row r="152" spans="1:17" x14ac:dyDescent="0.25">
      <c r="A152">
        <v>502</v>
      </c>
      <c r="B152">
        <v>1</v>
      </c>
      <c r="C152">
        <v>1</v>
      </c>
      <c r="D152">
        <v>0</v>
      </c>
      <c r="E152">
        <v>1</v>
      </c>
      <c r="F152">
        <v>1</v>
      </c>
      <c r="G152">
        <v>1</v>
      </c>
      <c r="H152">
        <v>0</v>
      </c>
      <c r="P152">
        <f t="shared" si="22"/>
        <v>2.4639674904819313</v>
      </c>
      <c r="Q152">
        <f t="shared" si="21"/>
        <v>11.751342512917736</v>
      </c>
    </row>
    <row r="153" spans="1:17" x14ac:dyDescent="0.25">
      <c r="A153">
        <v>503</v>
      </c>
      <c r="B153">
        <v>1</v>
      </c>
      <c r="C153">
        <v>1</v>
      </c>
      <c r="D153">
        <v>0</v>
      </c>
      <c r="E153">
        <v>-1</v>
      </c>
      <c r="F153">
        <v>-1</v>
      </c>
      <c r="G153">
        <v>1</v>
      </c>
      <c r="H153">
        <v>0</v>
      </c>
      <c r="P153">
        <f t="shared" si="22"/>
        <v>1.9760623485944482</v>
      </c>
      <c r="Q153">
        <f t="shared" si="21"/>
        <v>7.2142796641606211</v>
      </c>
    </row>
    <row r="154" spans="1:17" x14ac:dyDescent="0.25">
      <c r="A154">
        <v>503</v>
      </c>
      <c r="B154">
        <v>0</v>
      </c>
      <c r="C154">
        <v>-1</v>
      </c>
      <c r="D154">
        <v>-1</v>
      </c>
      <c r="E154">
        <v>1</v>
      </c>
      <c r="F154">
        <v>-1</v>
      </c>
      <c r="G154">
        <v>0</v>
      </c>
      <c r="H154">
        <v>1</v>
      </c>
      <c r="P154">
        <f t="shared" si="22"/>
        <v>0.21307820585445134</v>
      </c>
      <c r="Q154">
        <f t="shared" si="21"/>
        <v>1.2374814257516533</v>
      </c>
    </row>
    <row r="155" spans="1:17" x14ac:dyDescent="0.25">
      <c r="A155">
        <v>503</v>
      </c>
      <c r="B155">
        <v>0</v>
      </c>
      <c r="C155">
        <v>1</v>
      </c>
      <c r="D155">
        <v>0</v>
      </c>
      <c r="E155">
        <v>1</v>
      </c>
      <c r="F155">
        <v>-1</v>
      </c>
      <c r="G155">
        <v>-1</v>
      </c>
      <c r="H155">
        <v>-1</v>
      </c>
      <c r="P155">
        <f t="shared" si="22"/>
        <v>-0.96743768394048846</v>
      </c>
      <c r="Q155">
        <f t="shared" si="21"/>
        <v>0.38005561415131528</v>
      </c>
    </row>
    <row r="156" spans="1:17" x14ac:dyDescent="0.25">
      <c r="A156">
        <v>504</v>
      </c>
      <c r="B156">
        <v>0</v>
      </c>
      <c r="C156">
        <v>1</v>
      </c>
      <c r="D156">
        <v>0</v>
      </c>
      <c r="E156">
        <v>1</v>
      </c>
      <c r="F156">
        <v>-1</v>
      </c>
      <c r="G156">
        <v>-1</v>
      </c>
      <c r="H156">
        <v>-1</v>
      </c>
      <c r="P156">
        <f t="shared" si="22"/>
        <v>-0.96743768394048846</v>
      </c>
      <c r="Q156">
        <f t="shared" si="21"/>
        <v>0.38005561415131528</v>
      </c>
    </row>
    <row r="157" spans="1:17" x14ac:dyDescent="0.25">
      <c r="A157">
        <v>504</v>
      </c>
      <c r="B157">
        <v>0</v>
      </c>
      <c r="C157">
        <v>-1</v>
      </c>
      <c r="D157">
        <v>-1</v>
      </c>
      <c r="E157">
        <v>1</v>
      </c>
      <c r="F157">
        <v>1</v>
      </c>
      <c r="G157">
        <v>-1</v>
      </c>
      <c r="H157">
        <v>-1</v>
      </c>
      <c r="P157">
        <f t="shared" si="22"/>
        <v>-0.44769296615724818</v>
      </c>
      <c r="Q157">
        <f t="shared" si="21"/>
        <v>0.63910087950999117</v>
      </c>
    </row>
    <row r="158" spans="1:17" x14ac:dyDescent="0.25">
      <c r="A158">
        <v>504</v>
      </c>
      <c r="B158">
        <v>1</v>
      </c>
      <c r="C158">
        <v>1</v>
      </c>
      <c r="D158">
        <v>0</v>
      </c>
      <c r="E158">
        <v>-1</v>
      </c>
      <c r="F158">
        <v>-1</v>
      </c>
      <c r="G158">
        <v>1</v>
      </c>
      <c r="H158">
        <v>0</v>
      </c>
      <c r="P158">
        <f t="shared" si="22"/>
        <v>1.9760623485944482</v>
      </c>
      <c r="Q158">
        <f t="shared" si="21"/>
        <v>7.2142796641606211</v>
      </c>
    </row>
    <row r="159" spans="1:17" x14ac:dyDescent="0.25">
      <c r="A159">
        <v>505</v>
      </c>
      <c r="B159">
        <v>1</v>
      </c>
      <c r="C159">
        <v>-1</v>
      </c>
      <c r="D159">
        <v>-1</v>
      </c>
      <c r="E159">
        <v>-1</v>
      </c>
      <c r="F159">
        <v>-1</v>
      </c>
      <c r="G159">
        <v>1</v>
      </c>
      <c r="H159">
        <v>0</v>
      </c>
      <c r="P159">
        <f t="shared" si="22"/>
        <v>2.0214334480069271</v>
      </c>
      <c r="Q159">
        <f t="shared" si="21"/>
        <v>7.5491384789895326</v>
      </c>
    </row>
    <row r="160" spans="1:17" x14ac:dyDescent="0.25">
      <c r="A160">
        <v>505</v>
      </c>
      <c r="B160">
        <v>0</v>
      </c>
      <c r="C160">
        <v>0</v>
      </c>
      <c r="D160">
        <v>1</v>
      </c>
      <c r="E160">
        <v>1</v>
      </c>
      <c r="F160">
        <v>1</v>
      </c>
      <c r="G160">
        <v>1</v>
      </c>
      <c r="H160">
        <v>0</v>
      </c>
      <c r="P160">
        <f t="shared" si="22"/>
        <v>0.53746995417573973</v>
      </c>
      <c r="Q160">
        <f t="shared" si="21"/>
        <v>1.7116707737529904</v>
      </c>
    </row>
    <row r="161" spans="1:17" x14ac:dyDescent="0.25">
      <c r="A161">
        <v>505</v>
      </c>
      <c r="B161">
        <v>0</v>
      </c>
      <c r="C161">
        <v>1</v>
      </c>
      <c r="D161">
        <v>0</v>
      </c>
      <c r="E161">
        <v>-1</v>
      </c>
      <c r="F161">
        <v>1</v>
      </c>
      <c r="G161">
        <v>0</v>
      </c>
      <c r="H161">
        <v>1</v>
      </c>
      <c r="P161">
        <f t="shared" si="22"/>
        <v>0.62854920129601144</v>
      </c>
      <c r="Q161">
        <f t="shared" si="21"/>
        <v>1.8748885193273188</v>
      </c>
    </row>
    <row r="162" spans="1:17" x14ac:dyDescent="0.25">
      <c r="A162">
        <v>506</v>
      </c>
      <c r="B162">
        <v>1</v>
      </c>
      <c r="C162">
        <v>1</v>
      </c>
      <c r="D162">
        <v>0</v>
      </c>
      <c r="E162">
        <v>-1</v>
      </c>
      <c r="F162">
        <v>1</v>
      </c>
      <c r="G162">
        <v>0</v>
      </c>
      <c r="H162">
        <v>1</v>
      </c>
      <c r="P162">
        <f t="shared" si="22"/>
        <v>0.62854920129601144</v>
      </c>
      <c r="Q162">
        <f t="shared" si="21"/>
        <v>1.8748885193273188</v>
      </c>
    </row>
    <row r="163" spans="1:17" x14ac:dyDescent="0.25">
      <c r="A163">
        <v>506</v>
      </c>
      <c r="B163">
        <v>0</v>
      </c>
      <c r="C163">
        <v>0</v>
      </c>
      <c r="D163">
        <v>1</v>
      </c>
      <c r="E163">
        <v>1</v>
      </c>
      <c r="F163">
        <v>-1</v>
      </c>
      <c r="G163">
        <v>0</v>
      </c>
      <c r="H163">
        <v>1</v>
      </c>
      <c r="P163">
        <f t="shared" si="22"/>
        <v>-1.7587904298642194</v>
      </c>
      <c r="Q163">
        <f t="shared" si="21"/>
        <v>0.17225309005907632</v>
      </c>
    </row>
    <row r="164" spans="1:17" x14ac:dyDescent="0.25">
      <c r="A164">
        <v>506</v>
      </c>
      <c r="B164">
        <v>0</v>
      </c>
      <c r="C164">
        <v>0</v>
      </c>
      <c r="D164">
        <v>1</v>
      </c>
      <c r="E164">
        <v>-1</v>
      </c>
      <c r="F164">
        <v>1</v>
      </c>
      <c r="G164">
        <v>-1</v>
      </c>
      <c r="H164">
        <v>-1</v>
      </c>
      <c r="P164">
        <f t="shared" si="22"/>
        <v>-2.4330931253926411</v>
      </c>
      <c r="Q164">
        <f t="shared" si="21"/>
        <v>8.7764944329027011E-2</v>
      </c>
    </row>
    <row r="165" spans="1:17" x14ac:dyDescent="0.25">
      <c r="A165">
        <v>507</v>
      </c>
      <c r="B165">
        <v>1</v>
      </c>
      <c r="C165">
        <v>-1</v>
      </c>
      <c r="D165">
        <v>-1</v>
      </c>
      <c r="E165">
        <v>-1</v>
      </c>
      <c r="F165">
        <v>1</v>
      </c>
      <c r="G165">
        <v>0</v>
      </c>
      <c r="H165">
        <v>1</v>
      </c>
      <c r="P165">
        <f t="shared" si="22"/>
        <v>0.67392030070849041</v>
      </c>
      <c r="Q165">
        <f t="shared" si="21"/>
        <v>1.9619135553315648</v>
      </c>
    </row>
    <row r="166" spans="1:17" x14ac:dyDescent="0.25">
      <c r="A166">
        <v>507</v>
      </c>
      <c r="B166">
        <v>0</v>
      </c>
      <c r="C166">
        <v>0</v>
      </c>
      <c r="D166">
        <v>1</v>
      </c>
      <c r="E166">
        <v>-1</v>
      </c>
      <c r="F166">
        <v>-1</v>
      </c>
      <c r="G166">
        <v>-1</v>
      </c>
      <c r="H166">
        <v>-1</v>
      </c>
      <c r="P166">
        <f t="shared" si="22"/>
        <v>-2.9074667437634028</v>
      </c>
      <c r="Q166">
        <f t="shared" si="21"/>
        <v>5.4613905795243362E-2</v>
      </c>
    </row>
    <row r="167" spans="1:17" x14ac:dyDescent="0.25">
      <c r="A167">
        <v>507</v>
      </c>
      <c r="B167">
        <v>0</v>
      </c>
      <c r="C167">
        <v>-1</v>
      </c>
      <c r="D167">
        <v>-1</v>
      </c>
      <c r="E167">
        <v>1</v>
      </c>
      <c r="F167">
        <v>1</v>
      </c>
      <c r="G167">
        <v>-1</v>
      </c>
      <c r="H167">
        <v>-1</v>
      </c>
      <c r="P167">
        <f t="shared" si="22"/>
        <v>-0.44769296615724818</v>
      </c>
      <c r="Q167">
        <f t="shared" si="21"/>
        <v>0.63910087950999117</v>
      </c>
    </row>
    <row r="168" spans="1:17" x14ac:dyDescent="0.25">
      <c r="A168">
        <v>508</v>
      </c>
      <c r="B168">
        <v>1</v>
      </c>
      <c r="C168">
        <v>1</v>
      </c>
      <c r="D168">
        <v>0</v>
      </c>
      <c r="E168">
        <v>1</v>
      </c>
      <c r="F168">
        <v>1</v>
      </c>
      <c r="G168">
        <v>1</v>
      </c>
      <c r="H168">
        <v>0</v>
      </c>
      <c r="P168">
        <f t="shared" si="22"/>
        <v>2.4639674904819313</v>
      </c>
      <c r="Q168">
        <f t="shared" si="21"/>
        <v>11.751342512917736</v>
      </c>
    </row>
    <row r="169" spans="1:17" x14ac:dyDescent="0.25">
      <c r="A169">
        <v>508</v>
      </c>
      <c r="B169">
        <v>0</v>
      </c>
      <c r="C169">
        <v>1</v>
      </c>
      <c r="D169">
        <v>0</v>
      </c>
      <c r="E169">
        <v>-1</v>
      </c>
      <c r="F169">
        <v>1</v>
      </c>
      <c r="G169">
        <v>0</v>
      </c>
      <c r="H169">
        <v>1</v>
      </c>
      <c r="P169">
        <f t="shared" si="22"/>
        <v>0.62854920129601144</v>
      </c>
      <c r="Q169">
        <f t="shared" si="21"/>
        <v>1.8748885193273188</v>
      </c>
    </row>
    <row r="170" spans="1:17" x14ac:dyDescent="0.25">
      <c r="A170">
        <v>508</v>
      </c>
      <c r="B170">
        <v>0</v>
      </c>
      <c r="C170">
        <v>-1</v>
      </c>
      <c r="D170">
        <v>-1</v>
      </c>
      <c r="E170">
        <v>-1</v>
      </c>
      <c r="F170">
        <v>-1</v>
      </c>
      <c r="G170">
        <v>1</v>
      </c>
      <c r="H170">
        <v>0</v>
      </c>
      <c r="P170">
        <f t="shared" si="22"/>
        <v>2.0214334480069271</v>
      </c>
      <c r="Q170">
        <f t="shared" si="21"/>
        <v>7.5491384789895326</v>
      </c>
    </row>
    <row r="171" spans="1:17" x14ac:dyDescent="0.25">
      <c r="A171">
        <v>509</v>
      </c>
      <c r="B171">
        <v>0</v>
      </c>
      <c r="C171">
        <v>0</v>
      </c>
      <c r="D171">
        <v>1</v>
      </c>
      <c r="E171">
        <v>-1</v>
      </c>
      <c r="F171">
        <v>-1</v>
      </c>
      <c r="G171">
        <v>-1</v>
      </c>
      <c r="H171">
        <v>-1</v>
      </c>
      <c r="P171">
        <f t="shared" si="22"/>
        <v>-2.9074667437634028</v>
      </c>
      <c r="Q171">
        <f t="shared" si="21"/>
        <v>5.4613905795243362E-2</v>
      </c>
    </row>
    <row r="172" spans="1:17" x14ac:dyDescent="0.25">
      <c r="A172">
        <v>509</v>
      </c>
      <c r="B172">
        <v>0</v>
      </c>
      <c r="C172">
        <v>0</v>
      </c>
      <c r="D172">
        <v>1</v>
      </c>
      <c r="E172">
        <v>-1</v>
      </c>
      <c r="F172">
        <v>1</v>
      </c>
      <c r="G172">
        <v>-1</v>
      </c>
      <c r="H172">
        <v>-1</v>
      </c>
      <c r="P172">
        <f t="shared" si="22"/>
        <v>-2.4330931253926411</v>
      </c>
      <c r="Q172">
        <f t="shared" si="21"/>
        <v>8.7764944329027011E-2</v>
      </c>
    </row>
    <row r="173" spans="1:17" x14ac:dyDescent="0.25">
      <c r="A173">
        <v>509</v>
      </c>
      <c r="B173">
        <v>1</v>
      </c>
      <c r="C173">
        <v>0</v>
      </c>
      <c r="D173">
        <v>1</v>
      </c>
      <c r="E173">
        <v>1</v>
      </c>
      <c r="F173">
        <v>-1</v>
      </c>
      <c r="G173">
        <v>0</v>
      </c>
      <c r="H173">
        <v>1</v>
      </c>
      <c r="P173">
        <f t="shared" si="22"/>
        <v>-1.7587904298642194</v>
      </c>
      <c r="Q173">
        <f t="shared" si="21"/>
        <v>0.17225309005907632</v>
      </c>
    </row>
    <row r="174" spans="1:17" x14ac:dyDescent="0.25">
      <c r="A174">
        <v>510</v>
      </c>
      <c r="B174">
        <v>0</v>
      </c>
      <c r="C174">
        <v>0</v>
      </c>
      <c r="D174">
        <v>1</v>
      </c>
      <c r="E174">
        <v>1</v>
      </c>
      <c r="F174">
        <v>1</v>
      </c>
      <c r="G174">
        <v>1</v>
      </c>
      <c r="H174">
        <v>0</v>
      </c>
      <c r="P174">
        <f t="shared" si="22"/>
        <v>0.53746995417573973</v>
      </c>
      <c r="Q174">
        <f t="shared" si="21"/>
        <v>1.7116707737529904</v>
      </c>
    </row>
    <row r="175" spans="1:17" x14ac:dyDescent="0.25">
      <c r="A175">
        <v>510</v>
      </c>
      <c r="B175">
        <v>1</v>
      </c>
      <c r="C175">
        <v>-1</v>
      </c>
      <c r="D175">
        <v>-1</v>
      </c>
      <c r="E175">
        <v>-1</v>
      </c>
      <c r="F175">
        <v>-1</v>
      </c>
      <c r="G175">
        <v>1</v>
      </c>
      <c r="H175">
        <v>0</v>
      </c>
      <c r="P175">
        <f t="shared" si="22"/>
        <v>2.0214334480069271</v>
      </c>
      <c r="Q175">
        <f t="shared" si="21"/>
        <v>7.5491384789895326</v>
      </c>
    </row>
    <row r="176" spans="1:17" x14ac:dyDescent="0.25">
      <c r="A176">
        <v>510</v>
      </c>
      <c r="B176">
        <v>0</v>
      </c>
      <c r="C176">
        <v>-1</v>
      </c>
      <c r="D176">
        <v>-1</v>
      </c>
      <c r="E176">
        <v>-1</v>
      </c>
      <c r="F176">
        <v>1</v>
      </c>
      <c r="G176">
        <v>0</v>
      </c>
      <c r="H176">
        <v>1</v>
      </c>
      <c r="P176">
        <f t="shared" si="22"/>
        <v>0.67392030070849041</v>
      </c>
      <c r="Q176">
        <f t="shared" si="21"/>
        <v>1.9619135553315648</v>
      </c>
    </row>
    <row r="177" spans="1:17" x14ac:dyDescent="0.25">
      <c r="A177">
        <v>511</v>
      </c>
      <c r="B177">
        <v>0</v>
      </c>
      <c r="C177">
        <v>-1</v>
      </c>
      <c r="D177">
        <v>-1</v>
      </c>
      <c r="E177">
        <v>1</v>
      </c>
      <c r="F177">
        <v>-1</v>
      </c>
      <c r="G177">
        <v>0</v>
      </c>
      <c r="H177">
        <v>1</v>
      </c>
      <c r="P177">
        <f t="shared" si="22"/>
        <v>0.21307820585445134</v>
      </c>
      <c r="Q177">
        <f t="shared" si="21"/>
        <v>1.2374814257516533</v>
      </c>
    </row>
    <row r="178" spans="1:17" x14ac:dyDescent="0.25">
      <c r="A178">
        <v>511</v>
      </c>
      <c r="B178">
        <v>1</v>
      </c>
      <c r="C178">
        <v>-1</v>
      </c>
      <c r="D178">
        <v>-1</v>
      </c>
      <c r="E178">
        <v>-1</v>
      </c>
      <c r="F178">
        <v>1</v>
      </c>
      <c r="G178">
        <v>0</v>
      </c>
      <c r="H178">
        <v>1</v>
      </c>
      <c r="P178">
        <f t="shared" si="22"/>
        <v>0.67392030070849041</v>
      </c>
      <c r="Q178">
        <f t="shared" si="21"/>
        <v>1.9619135553315648</v>
      </c>
    </row>
    <row r="179" spans="1:17" x14ac:dyDescent="0.25">
      <c r="A179">
        <v>511</v>
      </c>
      <c r="B179">
        <v>0</v>
      </c>
      <c r="C179">
        <v>0</v>
      </c>
      <c r="D179">
        <v>1</v>
      </c>
      <c r="E179">
        <v>-1</v>
      </c>
      <c r="F179">
        <v>-1</v>
      </c>
      <c r="G179">
        <v>-1</v>
      </c>
      <c r="H179">
        <v>-1</v>
      </c>
      <c r="P179">
        <f t="shared" si="22"/>
        <v>-2.9074667437634028</v>
      </c>
      <c r="Q179">
        <f t="shared" si="21"/>
        <v>5.4613905795243362E-2</v>
      </c>
    </row>
    <row r="180" spans="1:17" x14ac:dyDescent="0.25">
      <c r="A180">
        <v>512</v>
      </c>
      <c r="B180">
        <v>0</v>
      </c>
      <c r="C180">
        <v>-1</v>
      </c>
      <c r="D180">
        <v>-1</v>
      </c>
      <c r="E180">
        <v>1</v>
      </c>
      <c r="F180">
        <v>1</v>
      </c>
      <c r="G180">
        <v>-1</v>
      </c>
      <c r="H180">
        <v>-1</v>
      </c>
      <c r="P180">
        <f t="shared" si="22"/>
        <v>-0.44769296615724818</v>
      </c>
      <c r="Q180">
        <f t="shared" si="21"/>
        <v>0.63910087950999117</v>
      </c>
    </row>
    <row r="181" spans="1:17" x14ac:dyDescent="0.25">
      <c r="A181">
        <v>512</v>
      </c>
      <c r="B181">
        <v>1</v>
      </c>
      <c r="C181">
        <v>1</v>
      </c>
      <c r="D181">
        <v>0</v>
      </c>
      <c r="E181">
        <v>1</v>
      </c>
      <c r="F181">
        <v>1</v>
      </c>
      <c r="G181">
        <v>1</v>
      </c>
      <c r="H181">
        <v>0</v>
      </c>
      <c r="P181">
        <f t="shared" si="22"/>
        <v>2.4639674904819313</v>
      </c>
      <c r="Q181">
        <f t="shared" si="21"/>
        <v>11.751342512917736</v>
      </c>
    </row>
    <row r="182" spans="1:17" x14ac:dyDescent="0.25">
      <c r="A182">
        <v>512</v>
      </c>
      <c r="B182">
        <v>0</v>
      </c>
      <c r="C182">
        <v>-1</v>
      </c>
      <c r="D182">
        <v>-1</v>
      </c>
      <c r="E182">
        <v>1</v>
      </c>
      <c r="F182">
        <v>-1</v>
      </c>
      <c r="G182">
        <v>0</v>
      </c>
      <c r="H182">
        <v>1</v>
      </c>
      <c r="P182">
        <f t="shared" si="22"/>
        <v>0.21307820585445134</v>
      </c>
      <c r="Q182">
        <f t="shared" si="21"/>
        <v>1.2374814257516533</v>
      </c>
    </row>
    <row r="183" spans="1:17" x14ac:dyDescent="0.25">
      <c r="A183">
        <v>601</v>
      </c>
      <c r="B183">
        <v>0</v>
      </c>
      <c r="C183">
        <v>0</v>
      </c>
      <c r="D183">
        <v>1</v>
      </c>
      <c r="E183">
        <v>-1</v>
      </c>
      <c r="F183">
        <v>1</v>
      </c>
      <c r="G183">
        <v>-1</v>
      </c>
      <c r="H183">
        <v>-1</v>
      </c>
      <c r="P183">
        <f t="shared" si="22"/>
        <v>-2.4330931253926411</v>
      </c>
      <c r="Q183">
        <f t="shared" si="21"/>
        <v>8.7764944329027011E-2</v>
      </c>
    </row>
    <row r="184" spans="1:17" x14ac:dyDescent="0.25">
      <c r="A184">
        <v>601</v>
      </c>
      <c r="B184">
        <v>0</v>
      </c>
      <c r="C184">
        <v>1</v>
      </c>
      <c r="D184">
        <v>0</v>
      </c>
      <c r="E184">
        <v>1</v>
      </c>
      <c r="F184">
        <v>-1</v>
      </c>
      <c r="G184">
        <v>-1</v>
      </c>
      <c r="H184">
        <v>-1</v>
      </c>
      <c r="P184">
        <f t="shared" si="22"/>
        <v>-0.96743768394048846</v>
      </c>
      <c r="Q184">
        <f t="shared" si="21"/>
        <v>0.38005561415131528</v>
      </c>
    </row>
    <row r="185" spans="1:17" x14ac:dyDescent="0.25">
      <c r="A185">
        <v>601</v>
      </c>
      <c r="B185">
        <v>1</v>
      </c>
      <c r="C185">
        <v>0</v>
      </c>
      <c r="D185">
        <v>1</v>
      </c>
      <c r="E185">
        <v>1</v>
      </c>
      <c r="F185">
        <v>1</v>
      </c>
      <c r="G185">
        <v>1</v>
      </c>
      <c r="H185">
        <v>0</v>
      </c>
      <c r="P185">
        <f t="shared" si="22"/>
        <v>0.53746995417573973</v>
      </c>
      <c r="Q185">
        <f t="shared" si="21"/>
        <v>1.7116707737529904</v>
      </c>
    </row>
    <row r="186" spans="1:17" x14ac:dyDescent="0.25">
      <c r="A186">
        <v>602</v>
      </c>
      <c r="B186">
        <v>0</v>
      </c>
      <c r="C186">
        <v>0</v>
      </c>
      <c r="D186">
        <v>1</v>
      </c>
      <c r="E186">
        <v>1</v>
      </c>
      <c r="F186">
        <v>-1</v>
      </c>
      <c r="G186">
        <v>0</v>
      </c>
      <c r="H186">
        <v>1</v>
      </c>
      <c r="P186">
        <f t="shared" si="22"/>
        <v>-1.7587904298642194</v>
      </c>
      <c r="Q186">
        <f t="shared" si="21"/>
        <v>0.17225309005907632</v>
      </c>
    </row>
    <row r="187" spans="1:17" x14ac:dyDescent="0.25">
      <c r="A187">
        <v>602</v>
      </c>
      <c r="B187">
        <v>0</v>
      </c>
      <c r="C187">
        <v>1</v>
      </c>
      <c r="D187">
        <v>0</v>
      </c>
      <c r="E187">
        <v>-1</v>
      </c>
      <c r="F187">
        <v>-1</v>
      </c>
      <c r="G187">
        <v>1</v>
      </c>
      <c r="H187">
        <v>0</v>
      </c>
      <c r="P187">
        <f t="shared" si="22"/>
        <v>1.9760623485944482</v>
      </c>
      <c r="Q187">
        <f t="shared" si="21"/>
        <v>7.2142796641606211</v>
      </c>
    </row>
    <row r="188" spans="1:17" x14ac:dyDescent="0.25">
      <c r="A188">
        <v>602</v>
      </c>
      <c r="B188">
        <v>1</v>
      </c>
      <c r="C188">
        <v>1</v>
      </c>
      <c r="D188">
        <v>0</v>
      </c>
      <c r="E188">
        <v>1</v>
      </c>
      <c r="F188">
        <v>1</v>
      </c>
      <c r="G188">
        <v>1</v>
      </c>
      <c r="H188">
        <v>0</v>
      </c>
      <c r="P188">
        <f t="shared" si="22"/>
        <v>2.4639674904819313</v>
      </c>
      <c r="Q188">
        <f t="shared" si="21"/>
        <v>11.751342512917736</v>
      </c>
    </row>
    <row r="189" spans="1:17" x14ac:dyDescent="0.25">
      <c r="A189">
        <v>603</v>
      </c>
      <c r="B189">
        <v>1</v>
      </c>
      <c r="C189">
        <v>1</v>
      </c>
      <c r="D189">
        <v>0</v>
      </c>
      <c r="E189">
        <v>-1</v>
      </c>
      <c r="F189">
        <v>-1</v>
      </c>
      <c r="G189">
        <v>1</v>
      </c>
      <c r="H189">
        <v>0</v>
      </c>
      <c r="P189">
        <f t="shared" si="22"/>
        <v>1.9760623485944482</v>
      </c>
      <c r="Q189">
        <f t="shared" si="21"/>
        <v>7.2142796641606211</v>
      </c>
    </row>
    <row r="190" spans="1:17" x14ac:dyDescent="0.25">
      <c r="A190">
        <v>603</v>
      </c>
      <c r="B190">
        <v>0</v>
      </c>
      <c r="C190">
        <v>-1</v>
      </c>
      <c r="D190">
        <v>-1</v>
      </c>
      <c r="E190">
        <v>1</v>
      </c>
      <c r="F190">
        <v>-1</v>
      </c>
      <c r="G190">
        <v>0</v>
      </c>
      <c r="H190">
        <v>1</v>
      </c>
      <c r="P190">
        <f t="shared" si="22"/>
        <v>0.21307820585445134</v>
      </c>
      <c r="Q190">
        <f t="shared" si="21"/>
        <v>1.2374814257516533</v>
      </c>
    </row>
    <row r="191" spans="1:17" x14ac:dyDescent="0.25">
      <c r="A191">
        <v>603</v>
      </c>
      <c r="B191">
        <v>0</v>
      </c>
      <c r="C191">
        <v>1</v>
      </c>
      <c r="D191">
        <v>0</v>
      </c>
      <c r="E191">
        <v>1</v>
      </c>
      <c r="F191">
        <v>-1</v>
      </c>
      <c r="G191">
        <v>-1</v>
      </c>
      <c r="H191">
        <v>-1</v>
      </c>
      <c r="P191">
        <f t="shared" si="22"/>
        <v>-0.96743768394048846</v>
      </c>
      <c r="Q191">
        <f t="shared" si="21"/>
        <v>0.38005561415131528</v>
      </c>
    </row>
    <row r="192" spans="1:17" x14ac:dyDescent="0.25">
      <c r="A192">
        <v>604</v>
      </c>
      <c r="B192">
        <v>0</v>
      </c>
      <c r="C192">
        <v>1</v>
      </c>
      <c r="D192">
        <v>0</v>
      </c>
      <c r="E192">
        <v>1</v>
      </c>
      <c r="F192">
        <v>-1</v>
      </c>
      <c r="G192">
        <v>-1</v>
      </c>
      <c r="H192">
        <v>-1</v>
      </c>
      <c r="P192">
        <f t="shared" si="22"/>
        <v>-0.96743768394048846</v>
      </c>
      <c r="Q192">
        <f t="shared" si="21"/>
        <v>0.38005561415131528</v>
      </c>
    </row>
    <row r="193" spans="1:17" x14ac:dyDescent="0.25">
      <c r="A193">
        <v>604</v>
      </c>
      <c r="B193">
        <v>0</v>
      </c>
      <c r="C193">
        <v>-1</v>
      </c>
      <c r="D193">
        <v>-1</v>
      </c>
      <c r="E193">
        <v>1</v>
      </c>
      <c r="F193">
        <v>1</v>
      </c>
      <c r="G193">
        <v>-1</v>
      </c>
      <c r="H193">
        <v>-1</v>
      </c>
      <c r="P193">
        <f t="shared" si="22"/>
        <v>-0.44769296615724818</v>
      </c>
      <c r="Q193">
        <f t="shared" si="21"/>
        <v>0.63910087950999117</v>
      </c>
    </row>
    <row r="194" spans="1:17" x14ac:dyDescent="0.25">
      <c r="A194">
        <v>604</v>
      </c>
      <c r="B194">
        <v>1</v>
      </c>
      <c r="C194">
        <v>1</v>
      </c>
      <c r="D194">
        <v>0</v>
      </c>
      <c r="E194">
        <v>-1</v>
      </c>
      <c r="F194">
        <v>-1</v>
      </c>
      <c r="G194">
        <v>1</v>
      </c>
      <c r="H194">
        <v>0</v>
      </c>
      <c r="P194">
        <f t="shared" si="22"/>
        <v>1.9760623485944482</v>
      </c>
      <c r="Q194">
        <f t="shared" si="21"/>
        <v>7.2142796641606211</v>
      </c>
    </row>
    <row r="195" spans="1:17" x14ac:dyDescent="0.25">
      <c r="A195">
        <v>605</v>
      </c>
      <c r="B195">
        <v>1</v>
      </c>
      <c r="C195">
        <v>-1</v>
      </c>
      <c r="D195">
        <v>-1</v>
      </c>
      <c r="E195">
        <v>-1</v>
      </c>
      <c r="F195">
        <v>-1</v>
      </c>
      <c r="G195">
        <v>1</v>
      </c>
      <c r="H195">
        <v>0</v>
      </c>
      <c r="P195">
        <f t="shared" si="22"/>
        <v>2.0214334480069271</v>
      </c>
      <c r="Q195">
        <f t="shared" si="21"/>
        <v>7.5491384789895326</v>
      </c>
    </row>
    <row r="196" spans="1:17" x14ac:dyDescent="0.25">
      <c r="A196">
        <v>605</v>
      </c>
      <c r="B196">
        <v>0</v>
      </c>
      <c r="C196">
        <v>0</v>
      </c>
      <c r="D196">
        <v>1</v>
      </c>
      <c r="E196">
        <v>1</v>
      </c>
      <c r="F196">
        <v>1</v>
      </c>
      <c r="G196">
        <v>1</v>
      </c>
      <c r="H196">
        <v>0</v>
      </c>
      <c r="P196">
        <f t="shared" si="22"/>
        <v>0.53746995417573973</v>
      </c>
      <c r="Q196">
        <f t="shared" ref="Q196:Q259" si="23">EXP(P196)</f>
        <v>1.7116707737529904</v>
      </c>
    </row>
    <row r="197" spans="1:17" x14ac:dyDescent="0.25">
      <c r="A197">
        <v>605</v>
      </c>
      <c r="B197">
        <v>0</v>
      </c>
      <c r="C197">
        <v>1</v>
      </c>
      <c r="D197">
        <v>0</v>
      </c>
      <c r="E197">
        <v>-1</v>
      </c>
      <c r="F197">
        <v>1</v>
      </c>
      <c r="G197">
        <v>0</v>
      </c>
      <c r="H197">
        <v>1</v>
      </c>
      <c r="P197">
        <f t="shared" ref="P197:P260" si="24">SUMPRODUCT(C197:H197,$J$3:$O$3)</f>
        <v>0.62854920129601144</v>
      </c>
      <c r="Q197">
        <f t="shared" si="23"/>
        <v>1.8748885193273188</v>
      </c>
    </row>
    <row r="198" spans="1:17" x14ac:dyDescent="0.25">
      <c r="A198">
        <v>606</v>
      </c>
      <c r="B198">
        <v>1</v>
      </c>
      <c r="C198">
        <v>1</v>
      </c>
      <c r="D198">
        <v>0</v>
      </c>
      <c r="E198">
        <v>-1</v>
      </c>
      <c r="F198">
        <v>1</v>
      </c>
      <c r="G198">
        <v>0</v>
      </c>
      <c r="H198">
        <v>1</v>
      </c>
      <c r="P198">
        <f t="shared" si="24"/>
        <v>0.62854920129601144</v>
      </c>
      <c r="Q198">
        <f t="shared" si="23"/>
        <v>1.8748885193273188</v>
      </c>
    </row>
    <row r="199" spans="1:17" x14ac:dyDescent="0.25">
      <c r="A199">
        <v>606</v>
      </c>
      <c r="B199">
        <v>0</v>
      </c>
      <c r="C199">
        <v>0</v>
      </c>
      <c r="D199">
        <v>1</v>
      </c>
      <c r="E199">
        <v>1</v>
      </c>
      <c r="F199">
        <v>-1</v>
      </c>
      <c r="G199">
        <v>0</v>
      </c>
      <c r="H199">
        <v>1</v>
      </c>
      <c r="P199">
        <f t="shared" si="24"/>
        <v>-1.7587904298642194</v>
      </c>
      <c r="Q199">
        <f t="shared" si="23"/>
        <v>0.17225309005907632</v>
      </c>
    </row>
    <row r="200" spans="1:17" x14ac:dyDescent="0.25">
      <c r="A200">
        <v>606</v>
      </c>
      <c r="B200">
        <v>0</v>
      </c>
      <c r="C200">
        <v>0</v>
      </c>
      <c r="D200">
        <v>1</v>
      </c>
      <c r="E200">
        <v>-1</v>
      </c>
      <c r="F200">
        <v>1</v>
      </c>
      <c r="G200">
        <v>-1</v>
      </c>
      <c r="H200">
        <v>-1</v>
      </c>
      <c r="P200">
        <f t="shared" si="24"/>
        <v>-2.4330931253926411</v>
      </c>
      <c r="Q200">
        <f t="shared" si="23"/>
        <v>8.7764944329027011E-2</v>
      </c>
    </row>
    <row r="201" spans="1:17" x14ac:dyDescent="0.25">
      <c r="A201">
        <v>607</v>
      </c>
      <c r="B201">
        <v>1</v>
      </c>
      <c r="C201">
        <v>-1</v>
      </c>
      <c r="D201">
        <v>-1</v>
      </c>
      <c r="E201">
        <v>-1</v>
      </c>
      <c r="F201">
        <v>1</v>
      </c>
      <c r="G201">
        <v>0</v>
      </c>
      <c r="H201">
        <v>1</v>
      </c>
      <c r="P201">
        <f t="shared" si="24"/>
        <v>0.67392030070849041</v>
      </c>
      <c r="Q201">
        <f t="shared" si="23"/>
        <v>1.9619135553315648</v>
      </c>
    </row>
    <row r="202" spans="1:17" x14ac:dyDescent="0.25">
      <c r="A202">
        <v>607</v>
      </c>
      <c r="B202">
        <v>0</v>
      </c>
      <c r="C202">
        <v>0</v>
      </c>
      <c r="D202">
        <v>1</v>
      </c>
      <c r="E202">
        <v>-1</v>
      </c>
      <c r="F202">
        <v>-1</v>
      </c>
      <c r="G202">
        <v>-1</v>
      </c>
      <c r="H202">
        <v>-1</v>
      </c>
      <c r="P202">
        <f t="shared" si="24"/>
        <v>-2.9074667437634028</v>
      </c>
      <c r="Q202">
        <f t="shared" si="23"/>
        <v>5.4613905795243362E-2</v>
      </c>
    </row>
    <row r="203" spans="1:17" x14ac:dyDescent="0.25">
      <c r="A203">
        <v>607</v>
      </c>
      <c r="B203">
        <v>0</v>
      </c>
      <c r="C203">
        <v>-1</v>
      </c>
      <c r="D203">
        <v>-1</v>
      </c>
      <c r="E203">
        <v>1</v>
      </c>
      <c r="F203">
        <v>1</v>
      </c>
      <c r="G203">
        <v>-1</v>
      </c>
      <c r="H203">
        <v>-1</v>
      </c>
      <c r="P203">
        <f t="shared" si="24"/>
        <v>-0.44769296615724818</v>
      </c>
      <c r="Q203">
        <f t="shared" si="23"/>
        <v>0.63910087950999117</v>
      </c>
    </row>
    <row r="204" spans="1:17" x14ac:dyDescent="0.25">
      <c r="A204">
        <v>608</v>
      </c>
      <c r="B204">
        <v>1</v>
      </c>
      <c r="C204">
        <v>1</v>
      </c>
      <c r="D204">
        <v>0</v>
      </c>
      <c r="E204">
        <v>1</v>
      </c>
      <c r="F204">
        <v>1</v>
      </c>
      <c r="G204">
        <v>1</v>
      </c>
      <c r="H204">
        <v>0</v>
      </c>
      <c r="P204">
        <f t="shared" si="24"/>
        <v>2.4639674904819313</v>
      </c>
      <c r="Q204">
        <f t="shared" si="23"/>
        <v>11.751342512917736</v>
      </c>
    </row>
    <row r="205" spans="1:17" x14ac:dyDescent="0.25">
      <c r="A205">
        <v>608</v>
      </c>
      <c r="B205">
        <v>0</v>
      </c>
      <c r="C205">
        <v>1</v>
      </c>
      <c r="D205">
        <v>0</v>
      </c>
      <c r="E205">
        <v>-1</v>
      </c>
      <c r="F205">
        <v>1</v>
      </c>
      <c r="G205">
        <v>0</v>
      </c>
      <c r="H205">
        <v>1</v>
      </c>
      <c r="P205">
        <f t="shared" si="24"/>
        <v>0.62854920129601144</v>
      </c>
      <c r="Q205">
        <f t="shared" si="23"/>
        <v>1.8748885193273188</v>
      </c>
    </row>
    <row r="206" spans="1:17" x14ac:dyDescent="0.25">
      <c r="A206">
        <v>608</v>
      </c>
      <c r="B206">
        <v>0</v>
      </c>
      <c r="C206">
        <v>-1</v>
      </c>
      <c r="D206">
        <v>-1</v>
      </c>
      <c r="E206">
        <v>-1</v>
      </c>
      <c r="F206">
        <v>-1</v>
      </c>
      <c r="G206">
        <v>1</v>
      </c>
      <c r="H206">
        <v>0</v>
      </c>
      <c r="P206">
        <f t="shared" si="24"/>
        <v>2.0214334480069271</v>
      </c>
      <c r="Q206">
        <f t="shared" si="23"/>
        <v>7.5491384789895326</v>
      </c>
    </row>
    <row r="207" spans="1:17" x14ac:dyDescent="0.25">
      <c r="A207">
        <v>609</v>
      </c>
      <c r="B207">
        <v>0</v>
      </c>
      <c r="C207">
        <v>0</v>
      </c>
      <c r="D207">
        <v>1</v>
      </c>
      <c r="E207">
        <v>-1</v>
      </c>
      <c r="F207">
        <v>-1</v>
      </c>
      <c r="G207">
        <v>-1</v>
      </c>
      <c r="H207">
        <v>-1</v>
      </c>
      <c r="P207">
        <f t="shared" si="24"/>
        <v>-2.9074667437634028</v>
      </c>
      <c r="Q207">
        <f t="shared" si="23"/>
        <v>5.4613905795243362E-2</v>
      </c>
    </row>
    <row r="208" spans="1:17" x14ac:dyDescent="0.25">
      <c r="A208">
        <v>609</v>
      </c>
      <c r="B208">
        <v>0</v>
      </c>
      <c r="C208">
        <v>0</v>
      </c>
      <c r="D208">
        <v>1</v>
      </c>
      <c r="E208">
        <v>-1</v>
      </c>
      <c r="F208">
        <v>1</v>
      </c>
      <c r="G208">
        <v>-1</v>
      </c>
      <c r="H208">
        <v>-1</v>
      </c>
      <c r="P208">
        <f t="shared" si="24"/>
        <v>-2.4330931253926411</v>
      </c>
      <c r="Q208">
        <f t="shared" si="23"/>
        <v>8.7764944329027011E-2</v>
      </c>
    </row>
    <row r="209" spans="1:17" x14ac:dyDescent="0.25">
      <c r="A209">
        <v>609</v>
      </c>
      <c r="B209">
        <v>1</v>
      </c>
      <c r="C209">
        <v>0</v>
      </c>
      <c r="D209">
        <v>1</v>
      </c>
      <c r="E209">
        <v>1</v>
      </c>
      <c r="F209">
        <v>-1</v>
      </c>
      <c r="G209">
        <v>0</v>
      </c>
      <c r="H209">
        <v>1</v>
      </c>
      <c r="P209">
        <f t="shared" si="24"/>
        <v>-1.7587904298642194</v>
      </c>
      <c r="Q209">
        <f t="shared" si="23"/>
        <v>0.17225309005907632</v>
      </c>
    </row>
    <row r="210" spans="1:17" x14ac:dyDescent="0.25">
      <c r="A210">
        <v>610</v>
      </c>
      <c r="B210">
        <v>0</v>
      </c>
      <c r="C210">
        <v>0</v>
      </c>
      <c r="D210">
        <v>1</v>
      </c>
      <c r="E210">
        <v>1</v>
      </c>
      <c r="F210">
        <v>1</v>
      </c>
      <c r="G210">
        <v>1</v>
      </c>
      <c r="H210">
        <v>0</v>
      </c>
      <c r="P210">
        <f t="shared" si="24"/>
        <v>0.53746995417573973</v>
      </c>
      <c r="Q210">
        <f t="shared" si="23"/>
        <v>1.7116707737529904</v>
      </c>
    </row>
    <row r="211" spans="1:17" x14ac:dyDescent="0.25">
      <c r="A211">
        <v>610</v>
      </c>
      <c r="B211">
        <v>1</v>
      </c>
      <c r="C211">
        <v>-1</v>
      </c>
      <c r="D211">
        <v>-1</v>
      </c>
      <c r="E211">
        <v>-1</v>
      </c>
      <c r="F211">
        <v>-1</v>
      </c>
      <c r="G211">
        <v>1</v>
      </c>
      <c r="H211">
        <v>0</v>
      </c>
      <c r="P211">
        <f t="shared" si="24"/>
        <v>2.0214334480069271</v>
      </c>
      <c r="Q211">
        <f t="shared" si="23"/>
        <v>7.5491384789895326</v>
      </c>
    </row>
    <row r="212" spans="1:17" x14ac:dyDescent="0.25">
      <c r="A212">
        <v>610</v>
      </c>
      <c r="B212">
        <v>0</v>
      </c>
      <c r="C212">
        <v>-1</v>
      </c>
      <c r="D212">
        <v>-1</v>
      </c>
      <c r="E212">
        <v>-1</v>
      </c>
      <c r="F212">
        <v>1</v>
      </c>
      <c r="G212">
        <v>0</v>
      </c>
      <c r="H212">
        <v>1</v>
      </c>
      <c r="P212">
        <f t="shared" si="24"/>
        <v>0.67392030070849041</v>
      </c>
      <c r="Q212">
        <f t="shared" si="23"/>
        <v>1.9619135553315648</v>
      </c>
    </row>
    <row r="213" spans="1:17" x14ac:dyDescent="0.25">
      <c r="A213">
        <v>611</v>
      </c>
      <c r="B213">
        <v>0</v>
      </c>
      <c r="C213">
        <v>-1</v>
      </c>
      <c r="D213">
        <v>-1</v>
      </c>
      <c r="E213">
        <v>1</v>
      </c>
      <c r="F213">
        <v>-1</v>
      </c>
      <c r="G213">
        <v>0</v>
      </c>
      <c r="H213">
        <v>1</v>
      </c>
      <c r="P213">
        <f t="shared" si="24"/>
        <v>0.21307820585445134</v>
      </c>
      <c r="Q213">
        <f t="shared" si="23"/>
        <v>1.2374814257516533</v>
      </c>
    </row>
    <row r="214" spans="1:17" x14ac:dyDescent="0.25">
      <c r="A214">
        <v>611</v>
      </c>
      <c r="B214">
        <v>1</v>
      </c>
      <c r="C214">
        <v>-1</v>
      </c>
      <c r="D214">
        <v>-1</v>
      </c>
      <c r="E214">
        <v>-1</v>
      </c>
      <c r="F214">
        <v>1</v>
      </c>
      <c r="G214">
        <v>0</v>
      </c>
      <c r="H214">
        <v>1</v>
      </c>
      <c r="P214">
        <f t="shared" si="24"/>
        <v>0.67392030070849041</v>
      </c>
      <c r="Q214">
        <f t="shared" si="23"/>
        <v>1.9619135553315648</v>
      </c>
    </row>
    <row r="215" spans="1:17" x14ac:dyDescent="0.25">
      <c r="A215">
        <v>611</v>
      </c>
      <c r="B215">
        <v>0</v>
      </c>
      <c r="C215">
        <v>0</v>
      </c>
      <c r="D215">
        <v>1</v>
      </c>
      <c r="E215">
        <v>-1</v>
      </c>
      <c r="F215">
        <v>-1</v>
      </c>
      <c r="G215">
        <v>-1</v>
      </c>
      <c r="H215">
        <v>-1</v>
      </c>
      <c r="P215">
        <f t="shared" si="24"/>
        <v>-2.9074667437634028</v>
      </c>
      <c r="Q215">
        <f t="shared" si="23"/>
        <v>5.4613905795243362E-2</v>
      </c>
    </row>
    <row r="216" spans="1:17" x14ac:dyDescent="0.25">
      <c r="A216">
        <v>612</v>
      </c>
      <c r="B216">
        <v>0</v>
      </c>
      <c r="C216">
        <v>-1</v>
      </c>
      <c r="D216">
        <v>-1</v>
      </c>
      <c r="E216">
        <v>1</v>
      </c>
      <c r="F216">
        <v>1</v>
      </c>
      <c r="G216">
        <v>-1</v>
      </c>
      <c r="H216">
        <v>-1</v>
      </c>
      <c r="P216">
        <f t="shared" si="24"/>
        <v>-0.44769296615724818</v>
      </c>
      <c r="Q216">
        <f t="shared" si="23"/>
        <v>0.63910087950999117</v>
      </c>
    </row>
    <row r="217" spans="1:17" x14ac:dyDescent="0.25">
      <c r="A217">
        <v>612</v>
      </c>
      <c r="B217">
        <v>1</v>
      </c>
      <c r="C217">
        <v>1</v>
      </c>
      <c r="D217">
        <v>0</v>
      </c>
      <c r="E217">
        <v>1</v>
      </c>
      <c r="F217">
        <v>1</v>
      </c>
      <c r="G217">
        <v>1</v>
      </c>
      <c r="H217">
        <v>0</v>
      </c>
      <c r="P217">
        <f t="shared" si="24"/>
        <v>2.4639674904819313</v>
      </c>
      <c r="Q217">
        <f t="shared" si="23"/>
        <v>11.751342512917736</v>
      </c>
    </row>
    <row r="218" spans="1:17" x14ac:dyDescent="0.25">
      <c r="A218">
        <v>612</v>
      </c>
      <c r="B218">
        <v>0</v>
      </c>
      <c r="C218">
        <v>-1</v>
      </c>
      <c r="D218">
        <v>-1</v>
      </c>
      <c r="E218">
        <v>1</v>
      </c>
      <c r="F218">
        <v>-1</v>
      </c>
      <c r="G218">
        <v>0</v>
      </c>
      <c r="H218">
        <v>1</v>
      </c>
      <c r="P218">
        <f t="shared" si="24"/>
        <v>0.21307820585445134</v>
      </c>
      <c r="Q218">
        <f t="shared" si="23"/>
        <v>1.2374814257516533</v>
      </c>
    </row>
    <row r="219" spans="1:17" x14ac:dyDescent="0.25">
      <c r="A219">
        <v>701</v>
      </c>
      <c r="B219">
        <v>0</v>
      </c>
      <c r="C219">
        <v>0</v>
      </c>
      <c r="D219">
        <v>1</v>
      </c>
      <c r="E219">
        <v>-1</v>
      </c>
      <c r="F219">
        <v>1</v>
      </c>
      <c r="G219">
        <v>-1</v>
      </c>
      <c r="H219">
        <v>-1</v>
      </c>
      <c r="P219">
        <f t="shared" si="24"/>
        <v>-2.4330931253926411</v>
      </c>
      <c r="Q219">
        <f t="shared" si="23"/>
        <v>8.7764944329027011E-2</v>
      </c>
    </row>
    <row r="220" spans="1:17" x14ac:dyDescent="0.25">
      <c r="A220">
        <v>701</v>
      </c>
      <c r="B220">
        <v>0</v>
      </c>
      <c r="C220">
        <v>1</v>
      </c>
      <c r="D220">
        <v>0</v>
      </c>
      <c r="E220">
        <v>1</v>
      </c>
      <c r="F220">
        <v>-1</v>
      </c>
      <c r="G220">
        <v>-1</v>
      </c>
      <c r="H220">
        <v>-1</v>
      </c>
      <c r="P220">
        <f t="shared" si="24"/>
        <v>-0.96743768394048846</v>
      </c>
      <c r="Q220">
        <f t="shared" si="23"/>
        <v>0.38005561415131528</v>
      </c>
    </row>
    <row r="221" spans="1:17" x14ac:dyDescent="0.25">
      <c r="A221">
        <v>701</v>
      </c>
      <c r="B221">
        <v>1</v>
      </c>
      <c r="C221">
        <v>0</v>
      </c>
      <c r="D221">
        <v>1</v>
      </c>
      <c r="E221">
        <v>1</v>
      </c>
      <c r="F221">
        <v>1</v>
      </c>
      <c r="G221">
        <v>1</v>
      </c>
      <c r="H221">
        <v>0</v>
      </c>
      <c r="P221">
        <f t="shared" si="24"/>
        <v>0.53746995417573973</v>
      </c>
      <c r="Q221">
        <f t="shared" si="23"/>
        <v>1.7116707737529904</v>
      </c>
    </row>
    <row r="222" spans="1:17" x14ac:dyDescent="0.25">
      <c r="A222">
        <v>702</v>
      </c>
      <c r="B222">
        <v>0</v>
      </c>
      <c r="C222">
        <v>0</v>
      </c>
      <c r="D222">
        <v>1</v>
      </c>
      <c r="E222">
        <v>1</v>
      </c>
      <c r="F222">
        <v>-1</v>
      </c>
      <c r="G222">
        <v>0</v>
      </c>
      <c r="H222">
        <v>1</v>
      </c>
      <c r="P222">
        <f t="shared" si="24"/>
        <v>-1.7587904298642194</v>
      </c>
      <c r="Q222">
        <f t="shared" si="23"/>
        <v>0.17225309005907632</v>
      </c>
    </row>
    <row r="223" spans="1:17" x14ac:dyDescent="0.25">
      <c r="A223">
        <v>702</v>
      </c>
      <c r="B223">
        <v>0</v>
      </c>
      <c r="C223">
        <v>1</v>
      </c>
      <c r="D223">
        <v>0</v>
      </c>
      <c r="E223">
        <v>-1</v>
      </c>
      <c r="F223">
        <v>-1</v>
      </c>
      <c r="G223">
        <v>1</v>
      </c>
      <c r="H223">
        <v>0</v>
      </c>
      <c r="P223">
        <f t="shared" si="24"/>
        <v>1.9760623485944482</v>
      </c>
      <c r="Q223">
        <f t="shared" si="23"/>
        <v>7.2142796641606211</v>
      </c>
    </row>
    <row r="224" spans="1:17" x14ac:dyDescent="0.25">
      <c r="A224">
        <v>702</v>
      </c>
      <c r="B224">
        <v>1</v>
      </c>
      <c r="C224">
        <v>1</v>
      </c>
      <c r="D224">
        <v>0</v>
      </c>
      <c r="E224">
        <v>1</v>
      </c>
      <c r="F224">
        <v>1</v>
      </c>
      <c r="G224">
        <v>1</v>
      </c>
      <c r="H224">
        <v>0</v>
      </c>
      <c r="P224">
        <f t="shared" si="24"/>
        <v>2.4639674904819313</v>
      </c>
      <c r="Q224">
        <f t="shared" si="23"/>
        <v>11.751342512917736</v>
      </c>
    </row>
    <row r="225" spans="1:17" x14ac:dyDescent="0.25">
      <c r="A225">
        <v>703</v>
      </c>
      <c r="B225">
        <v>1</v>
      </c>
      <c r="C225">
        <v>1</v>
      </c>
      <c r="D225">
        <v>0</v>
      </c>
      <c r="E225">
        <v>-1</v>
      </c>
      <c r="F225">
        <v>-1</v>
      </c>
      <c r="G225">
        <v>1</v>
      </c>
      <c r="H225">
        <v>0</v>
      </c>
      <c r="P225">
        <f t="shared" si="24"/>
        <v>1.9760623485944482</v>
      </c>
      <c r="Q225">
        <f t="shared" si="23"/>
        <v>7.2142796641606211</v>
      </c>
    </row>
    <row r="226" spans="1:17" x14ac:dyDescent="0.25">
      <c r="A226">
        <v>703</v>
      </c>
      <c r="B226">
        <v>0</v>
      </c>
      <c r="C226">
        <v>-1</v>
      </c>
      <c r="D226">
        <v>-1</v>
      </c>
      <c r="E226">
        <v>1</v>
      </c>
      <c r="F226">
        <v>-1</v>
      </c>
      <c r="G226">
        <v>0</v>
      </c>
      <c r="H226">
        <v>1</v>
      </c>
      <c r="P226">
        <f t="shared" si="24"/>
        <v>0.21307820585445134</v>
      </c>
      <c r="Q226">
        <f t="shared" si="23"/>
        <v>1.2374814257516533</v>
      </c>
    </row>
    <row r="227" spans="1:17" x14ac:dyDescent="0.25">
      <c r="A227">
        <v>703</v>
      </c>
      <c r="B227">
        <v>0</v>
      </c>
      <c r="C227">
        <v>1</v>
      </c>
      <c r="D227">
        <v>0</v>
      </c>
      <c r="E227">
        <v>1</v>
      </c>
      <c r="F227">
        <v>-1</v>
      </c>
      <c r="G227">
        <v>-1</v>
      </c>
      <c r="H227">
        <v>-1</v>
      </c>
      <c r="P227">
        <f t="shared" si="24"/>
        <v>-0.96743768394048846</v>
      </c>
      <c r="Q227">
        <f t="shared" si="23"/>
        <v>0.38005561415131528</v>
      </c>
    </row>
    <row r="228" spans="1:17" x14ac:dyDescent="0.25">
      <c r="A228">
        <v>704</v>
      </c>
      <c r="B228">
        <v>0</v>
      </c>
      <c r="C228">
        <v>1</v>
      </c>
      <c r="D228">
        <v>0</v>
      </c>
      <c r="E228">
        <v>1</v>
      </c>
      <c r="F228">
        <v>-1</v>
      </c>
      <c r="G228">
        <v>-1</v>
      </c>
      <c r="H228">
        <v>-1</v>
      </c>
      <c r="P228">
        <f t="shared" si="24"/>
        <v>-0.96743768394048846</v>
      </c>
      <c r="Q228">
        <f t="shared" si="23"/>
        <v>0.38005561415131528</v>
      </c>
    </row>
    <row r="229" spans="1:17" x14ac:dyDescent="0.25">
      <c r="A229">
        <v>704</v>
      </c>
      <c r="B229">
        <v>0</v>
      </c>
      <c r="C229">
        <v>-1</v>
      </c>
      <c r="D229">
        <v>-1</v>
      </c>
      <c r="E229">
        <v>1</v>
      </c>
      <c r="F229">
        <v>1</v>
      </c>
      <c r="G229">
        <v>-1</v>
      </c>
      <c r="H229">
        <v>-1</v>
      </c>
      <c r="P229">
        <f t="shared" si="24"/>
        <v>-0.44769296615724818</v>
      </c>
      <c r="Q229">
        <f t="shared" si="23"/>
        <v>0.63910087950999117</v>
      </c>
    </row>
    <row r="230" spans="1:17" x14ac:dyDescent="0.25">
      <c r="A230">
        <v>704</v>
      </c>
      <c r="B230">
        <v>1</v>
      </c>
      <c r="C230">
        <v>1</v>
      </c>
      <c r="D230">
        <v>0</v>
      </c>
      <c r="E230">
        <v>-1</v>
      </c>
      <c r="F230">
        <v>-1</v>
      </c>
      <c r="G230">
        <v>1</v>
      </c>
      <c r="H230">
        <v>0</v>
      </c>
      <c r="P230">
        <f t="shared" si="24"/>
        <v>1.9760623485944482</v>
      </c>
      <c r="Q230">
        <f t="shared" si="23"/>
        <v>7.2142796641606211</v>
      </c>
    </row>
    <row r="231" spans="1:17" x14ac:dyDescent="0.25">
      <c r="A231">
        <v>705</v>
      </c>
      <c r="B231">
        <v>1</v>
      </c>
      <c r="C231">
        <v>-1</v>
      </c>
      <c r="D231">
        <v>-1</v>
      </c>
      <c r="E231">
        <v>-1</v>
      </c>
      <c r="F231">
        <v>-1</v>
      </c>
      <c r="G231">
        <v>1</v>
      </c>
      <c r="H231">
        <v>0</v>
      </c>
      <c r="P231">
        <f t="shared" si="24"/>
        <v>2.0214334480069271</v>
      </c>
      <c r="Q231">
        <f t="shared" si="23"/>
        <v>7.5491384789895326</v>
      </c>
    </row>
    <row r="232" spans="1:17" x14ac:dyDescent="0.25">
      <c r="A232">
        <v>705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0</v>
      </c>
      <c r="P232">
        <f t="shared" si="24"/>
        <v>0.53746995417573973</v>
      </c>
      <c r="Q232">
        <f t="shared" si="23"/>
        <v>1.7116707737529904</v>
      </c>
    </row>
    <row r="233" spans="1:17" x14ac:dyDescent="0.25">
      <c r="A233">
        <v>705</v>
      </c>
      <c r="B233">
        <v>0</v>
      </c>
      <c r="C233">
        <v>1</v>
      </c>
      <c r="D233">
        <v>0</v>
      </c>
      <c r="E233">
        <v>-1</v>
      </c>
      <c r="F233">
        <v>1</v>
      </c>
      <c r="G233">
        <v>0</v>
      </c>
      <c r="H233">
        <v>1</v>
      </c>
      <c r="P233">
        <f t="shared" si="24"/>
        <v>0.62854920129601144</v>
      </c>
      <c r="Q233">
        <f t="shared" si="23"/>
        <v>1.8748885193273188</v>
      </c>
    </row>
    <row r="234" spans="1:17" x14ac:dyDescent="0.25">
      <c r="A234">
        <v>706</v>
      </c>
      <c r="B234">
        <v>1</v>
      </c>
      <c r="C234">
        <v>1</v>
      </c>
      <c r="D234">
        <v>0</v>
      </c>
      <c r="E234">
        <v>-1</v>
      </c>
      <c r="F234">
        <v>1</v>
      </c>
      <c r="G234">
        <v>0</v>
      </c>
      <c r="H234">
        <v>1</v>
      </c>
      <c r="P234">
        <f t="shared" si="24"/>
        <v>0.62854920129601144</v>
      </c>
      <c r="Q234">
        <f t="shared" si="23"/>
        <v>1.8748885193273188</v>
      </c>
    </row>
    <row r="235" spans="1:17" x14ac:dyDescent="0.25">
      <c r="A235">
        <v>706</v>
      </c>
      <c r="B235">
        <v>0</v>
      </c>
      <c r="C235">
        <v>0</v>
      </c>
      <c r="D235">
        <v>1</v>
      </c>
      <c r="E235">
        <v>1</v>
      </c>
      <c r="F235">
        <v>-1</v>
      </c>
      <c r="G235">
        <v>0</v>
      </c>
      <c r="H235">
        <v>1</v>
      </c>
      <c r="P235">
        <f t="shared" si="24"/>
        <v>-1.7587904298642194</v>
      </c>
      <c r="Q235">
        <f t="shared" si="23"/>
        <v>0.17225309005907632</v>
      </c>
    </row>
    <row r="236" spans="1:17" x14ac:dyDescent="0.25">
      <c r="A236">
        <v>706</v>
      </c>
      <c r="B236">
        <v>0</v>
      </c>
      <c r="C236">
        <v>0</v>
      </c>
      <c r="D236">
        <v>1</v>
      </c>
      <c r="E236">
        <v>-1</v>
      </c>
      <c r="F236">
        <v>1</v>
      </c>
      <c r="G236">
        <v>-1</v>
      </c>
      <c r="H236">
        <v>-1</v>
      </c>
      <c r="P236">
        <f t="shared" si="24"/>
        <v>-2.4330931253926411</v>
      </c>
      <c r="Q236">
        <f t="shared" si="23"/>
        <v>8.7764944329027011E-2</v>
      </c>
    </row>
    <row r="237" spans="1:17" x14ac:dyDescent="0.25">
      <c r="A237">
        <v>707</v>
      </c>
      <c r="B237">
        <v>1</v>
      </c>
      <c r="C237">
        <v>-1</v>
      </c>
      <c r="D237">
        <v>-1</v>
      </c>
      <c r="E237">
        <v>-1</v>
      </c>
      <c r="F237">
        <v>1</v>
      </c>
      <c r="G237">
        <v>0</v>
      </c>
      <c r="H237">
        <v>1</v>
      </c>
      <c r="P237">
        <f t="shared" si="24"/>
        <v>0.67392030070849041</v>
      </c>
      <c r="Q237">
        <f t="shared" si="23"/>
        <v>1.9619135553315648</v>
      </c>
    </row>
    <row r="238" spans="1:17" x14ac:dyDescent="0.25">
      <c r="A238">
        <v>707</v>
      </c>
      <c r="B238">
        <v>0</v>
      </c>
      <c r="C238">
        <v>0</v>
      </c>
      <c r="D238">
        <v>1</v>
      </c>
      <c r="E238">
        <v>-1</v>
      </c>
      <c r="F238">
        <v>-1</v>
      </c>
      <c r="G238">
        <v>-1</v>
      </c>
      <c r="H238">
        <v>-1</v>
      </c>
      <c r="P238">
        <f t="shared" si="24"/>
        <v>-2.9074667437634028</v>
      </c>
      <c r="Q238">
        <f t="shared" si="23"/>
        <v>5.4613905795243362E-2</v>
      </c>
    </row>
    <row r="239" spans="1:17" x14ac:dyDescent="0.25">
      <c r="A239">
        <v>707</v>
      </c>
      <c r="B239">
        <v>0</v>
      </c>
      <c r="C239">
        <v>-1</v>
      </c>
      <c r="D239">
        <v>-1</v>
      </c>
      <c r="E239">
        <v>1</v>
      </c>
      <c r="F239">
        <v>1</v>
      </c>
      <c r="G239">
        <v>-1</v>
      </c>
      <c r="H239">
        <v>-1</v>
      </c>
      <c r="P239">
        <f t="shared" si="24"/>
        <v>-0.44769296615724818</v>
      </c>
      <c r="Q239">
        <f t="shared" si="23"/>
        <v>0.63910087950999117</v>
      </c>
    </row>
    <row r="240" spans="1:17" x14ac:dyDescent="0.25">
      <c r="A240">
        <v>708</v>
      </c>
      <c r="B240">
        <v>1</v>
      </c>
      <c r="C240">
        <v>1</v>
      </c>
      <c r="D240">
        <v>0</v>
      </c>
      <c r="E240">
        <v>1</v>
      </c>
      <c r="F240">
        <v>1</v>
      </c>
      <c r="G240">
        <v>1</v>
      </c>
      <c r="H240">
        <v>0</v>
      </c>
      <c r="P240">
        <f t="shared" si="24"/>
        <v>2.4639674904819313</v>
      </c>
      <c r="Q240">
        <f t="shared" si="23"/>
        <v>11.751342512917736</v>
      </c>
    </row>
    <row r="241" spans="1:17" x14ac:dyDescent="0.25">
      <c r="A241">
        <v>708</v>
      </c>
      <c r="B241">
        <v>0</v>
      </c>
      <c r="C241">
        <v>1</v>
      </c>
      <c r="D241">
        <v>0</v>
      </c>
      <c r="E241">
        <v>-1</v>
      </c>
      <c r="F241">
        <v>1</v>
      </c>
      <c r="G241">
        <v>0</v>
      </c>
      <c r="H241">
        <v>1</v>
      </c>
      <c r="P241">
        <f t="shared" si="24"/>
        <v>0.62854920129601144</v>
      </c>
      <c r="Q241">
        <f t="shared" si="23"/>
        <v>1.8748885193273188</v>
      </c>
    </row>
    <row r="242" spans="1:17" x14ac:dyDescent="0.25">
      <c r="A242">
        <v>708</v>
      </c>
      <c r="B242">
        <v>0</v>
      </c>
      <c r="C242">
        <v>-1</v>
      </c>
      <c r="D242">
        <v>-1</v>
      </c>
      <c r="E242">
        <v>-1</v>
      </c>
      <c r="F242">
        <v>-1</v>
      </c>
      <c r="G242">
        <v>1</v>
      </c>
      <c r="H242">
        <v>0</v>
      </c>
      <c r="P242">
        <f t="shared" si="24"/>
        <v>2.0214334480069271</v>
      </c>
      <c r="Q242">
        <f t="shared" si="23"/>
        <v>7.5491384789895326</v>
      </c>
    </row>
    <row r="243" spans="1:17" x14ac:dyDescent="0.25">
      <c r="A243">
        <v>709</v>
      </c>
      <c r="B243">
        <v>0</v>
      </c>
      <c r="C243">
        <v>0</v>
      </c>
      <c r="D243">
        <v>1</v>
      </c>
      <c r="E243">
        <v>-1</v>
      </c>
      <c r="F243">
        <v>-1</v>
      </c>
      <c r="G243">
        <v>-1</v>
      </c>
      <c r="H243">
        <v>-1</v>
      </c>
      <c r="P243">
        <f t="shared" si="24"/>
        <v>-2.9074667437634028</v>
      </c>
      <c r="Q243">
        <f t="shared" si="23"/>
        <v>5.4613905795243362E-2</v>
      </c>
    </row>
    <row r="244" spans="1:17" x14ac:dyDescent="0.25">
      <c r="A244">
        <v>709</v>
      </c>
      <c r="B244">
        <v>0</v>
      </c>
      <c r="C244">
        <v>0</v>
      </c>
      <c r="D244">
        <v>1</v>
      </c>
      <c r="E244">
        <v>-1</v>
      </c>
      <c r="F244">
        <v>1</v>
      </c>
      <c r="G244">
        <v>-1</v>
      </c>
      <c r="H244">
        <v>-1</v>
      </c>
      <c r="P244">
        <f t="shared" si="24"/>
        <v>-2.4330931253926411</v>
      </c>
      <c r="Q244">
        <f t="shared" si="23"/>
        <v>8.7764944329027011E-2</v>
      </c>
    </row>
    <row r="245" spans="1:17" x14ac:dyDescent="0.25">
      <c r="A245">
        <v>709</v>
      </c>
      <c r="B245">
        <v>1</v>
      </c>
      <c r="C245">
        <v>0</v>
      </c>
      <c r="D245">
        <v>1</v>
      </c>
      <c r="E245">
        <v>1</v>
      </c>
      <c r="F245">
        <v>-1</v>
      </c>
      <c r="G245">
        <v>0</v>
      </c>
      <c r="H245">
        <v>1</v>
      </c>
      <c r="P245">
        <f t="shared" si="24"/>
        <v>-1.7587904298642194</v>
      </c>
      <c r="Q245">
        <f t="shared" si="23"/>
        <v>0.17225309005907632</v>
      </c>
    </row>
    <row r="246" spans="1:17" x14ac:dyDescent="0.25">
      <c r="A246">
        <v>710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0</v>
      </c>
      <c r="P246">
        <f t="shared" si="24"/>
        <v>0.53746995417573973</v>
      </c>
      <c r="Q246">
        <f t="shared" si="23"/>
        <v>1.7116707737529904</v>
      </c>
    </row>
    <row r="247" spans="1:17" x14ac:dyDescent="0.25">
      <c r="A247">
        <v>710</v>
      </c>
      <c r="B247">
        <v>1</v>
      </c>
      <c r="C247">
        <v>-1</v>
      </c>
      <c r="D247">
        <v>-1</v>
      </c>
      <c r="E247">
        <v>-1</v>
      </c>
      <c r="F247">
        <v>-1</v>
      </c>
      <c r="G247">
        <v>1</v>
      </c>
      <c r="H247">
        <v>0</v>
      </c>
      <c r="P247">
        <f t="shared" si="24"/>
        <v>2.0214334480069271</v>
      </c>
      <c r="Q247">
        <f t="shared" si="23"/>
        <v>7.5491384789895326</v>
      </c>
    </row>
    <row r="248" spans="1:17" x14ac:dyDescent="0.25">
      <c r="A248">
        <v>710</v>
      </c>
      <c r="B248">
        <v>0</v>
      </c>
      <c r="C248">
        <v>-1</v>
      </c>
      <c r="D248">
        <v>-1</v>
      </c>
      <c r="E248">
        <v>-1</v>
      </c>
      <c r="F248">
        <v>1</v>
      </c>
      <c r="G248">
        <v>0</v>
      </c>
      <c r="H248">
        <v>1</v>
      </c>
      <c r="P248">
        <f t="shared" si="24"/>
        <v>0.67392030070849041</v>
      </c>
      <c r="Q248">
        <f t="shared" si="23"/>
        <v>1.9619135553315648</v>
      </c>
    </row>
    <row r="249" spans="1:17" x14ac:dyDescent="0.25">
      <c r="A249">
        <v>711</v>
      </c>
      <c r="B249">
        <v>0</v>
      </c>
      <c r="C249">
        <v>-1</v>
      </c>
      <c r="D249">
        <v>-1</v>
      </c>
      <c r="E249">
        <v>1</v>
      </c>
      <c r="F249">
        <v>-1</v>
      </c>
      <c r="G249">
        <v>0</v>
      </c>
      <c r="H249">
        <v>1</v>
      </c>
      <c r="P249">
        <f t="shared" si="24"/>
        <v>0.21307820585445134</v>
      </c>
      <c r="Q249">
        <f t="shared" si="23"/>
        <v>1.2374814257516533</v>
      </c>
    </row>
    <row r="250" spans="1:17" x14ac:dyDescent="0.25">
      <c r="A250">
        <v>711</v>
      </c>
      <c r="B250">
        <v>1</v>
      </c>
      <c r="C250">
        <v>-1</v>
      </c>
      <c r="D250">
        <v>-1</v>
      </c>
      <c r="E250">
        <v>-1</v>
      </c>
      <c r="F250">
        <v>1</v>
      </c>
      <c r="G250">
        <v>0</v>
      </c>
      <c r="H250">
        <v>1</v>
      </c>
      <c r="P250">
        <f t="shared" si="24"/>
        <v>0.67392030070849041</v>
      </c>
      <c r="Q250">
        <f t="shared" si="23"/>
        <v>1.9619135553315648</v>
      </c>
    </row>
    <row r="251" spans="1:17" x14ac:dyDescent="0.25">
      <c r="A251">
        <v>711</v>
      </c>
      <c r="B251">
        <v>0</v>
      </c>
      <c r="C251">
        <v>0</v>
      </c>
      <c r="D251">
        <v>1</v>
      </c>
      <c r="E251">
        <v>-1</v>
      </c>
      <c r="F251">
        <v>-1</v>
      </c>
      <c r="G251">
        <v>-1</v>
      </c>
      <c r="H251">
        <v>-1</v>
      </c>
      <c r="P251">
        <f t="shared" si="24"/>
        <v>-2.9074667437634028</v>
      </c>
      <c r="Q251">
        <f t="shared" si="23"/>
        <v>5.4613905795243362E-2</v>
      </c>
    </row>
    <row r="252" spans="1:17" x14ac:dyDescent="0.25">
      <c r="A252">
        <v>712</v>
      </c>
      <c r="B252">
        <v>0</v>
      </c>
      <c r="C252">
        <v>-1</v>
      </c>
      <c r="D252">
        <v>-1</v>
      </c>
      <c r="E252">
        <v>1</v>
      </c>
      <c r="F252">
        <v>1</v>
      </c>
      <c r="G252">
        <v>-1</v>
      </c>
      <c r="H252">
        <v>-1</v>
      </c>
      <c r="P252">
        <f t="shared" si="24"/>
        <v>-0.44769296615724818</v>
      </c>
      <c r="Q252">
        <f t="shared" si="23"/>
        <v>0.63910087950999117</v>
      </c>
    </row>
    <row r="253" spans="1:17" x14ac:dyDescent="0.25">
      <c r="A253">
        <v>712</v>
      </c>
      <c r="B253">
        <v>1</v>
      </c>
      <c r="C253">
        <v>1</v>
      </c>
      <c r="D253">
        <v>0</v>
      </c>
      <c r="E253">
        <v>1</v>
      </c>
      <c r="F253">
        <v>1</v>
      </c>
      <c r="G253">
        <v>1</v>
      </c>
      <c r="H253">
        <v>0</v>
      </c>
      <c r="P253">
        <f t="shared" si="24"/>
        <v>2.4639674904819313</v>
      </c>
      <c r="Q253">
        <f t="shared" si="23"/>
        <v>11.751342512917736</v>
      </c>
    </row>
    <row r="254" spans="1:17" x14ac:dyDescent="0.25">
      <c r="A254">
        <v>712</v>
      </c>
      <c r="B254">
        <v>0</v>
      </c>
      <c r="C254">
        <v>-1</v>
      </c>
      <c r="D254">
        <v>-1</v>
      </c>
      <c r="E254">
        <v>1</v>
      </c>
      <c r="F254">
        <v>-1</v>
      </c>
      <c r="G254">
        <v>0</v>
      </c>
      <c r="H254">
        <v>1</v>
      </c>
      <c r="P254">
        <f t="shared" si="24"/>
        <v>0.21307820585445134</v>
      </c>
      <c r="Q254">
        <f t="shared" si="23"/>
        <v>1.2374814257516533</v>
      </c>
    </row>
    <row r="255" spans="1:17" x14ac:dyDescent="0.25">
      <c r="A255">
        <v>801</v>
      </c>
      <c r="B255">
        <v>0</v>
      </c>
      <c r="C255">
        <v>0</v>
      </c>
      <c r="D255">
        <v>1</v>
      </c>
      <c r="E255">
        <v>-1</v>
      </c>
      <c r="F255">
        <v>1</v>
      </c>
      <c r="G255">
        <v>-1</v>
      </c>
      <c r="H255">
        <v>-1</v>
      </c>
      <c r="P255">
        <f t="shared" si="24"/>
        <v>-2.4330931253926411</v>
      </c>
      <c r="Q255">
        <f t="shared" si="23"/>
        <v>8.7764944329027011E-2</v>
      </c>
    </row>
    <row r="256" spans="1:17" x14ac:dyDescent="0.25">
      <c r="A256">
        <v>801</v>
      </c>
      <c r="B256">
        <v>0</v>
      </c>
      <c r="C256">
        <v>1</v>
      </c>
      <c r="D256">
        <v>0</v>
      </c>
      <c r="E256">
        <v>1</v>
      </c>
      <c r="F256">
        <v>-1</v>
      </c>
      <c r="G256">
        <v>-1</v>
      </c>
      <c r="H256">
        <v>-1</v>
      </c>
      <c r="P256">
        <f t="shared" si="24"/>
        <v>-0.96743768394048846</v>
      </c>
      <c r="Q256">
        <f t="shared" si="23"/>
        <v>0.38005561415131528</v>
      </c>
    </row>
    <row r="257" spans="1:17" x14ac:dyDescent="0.25">
      <c r="A257">
        <v>801</v>
      </c>
      <c r="B257">
        <v>1</v>
      </c>
      <c r="C257">
        <v>0</v>
      </c>
      <c r="D257">
        <v>1</v>
      </c>
      <c r="E257">
        <v>1</v>
      </c>
      <c r="F257">
        <v>1</v>
      </c>
      <c r="G257">
        <v>1</v>
      </c>
      <c r="H257">
        <v>0</v>
      </c>
      <c r="P257">
        <f t="shared" si="24"/>
        <v>0.53746995417573973</v>
      </c>
      <c r="Q257">
        <f t="shared" si="23"/>
        <v>1.7116707737529904</v>
      </c>
    </row>
    <row r="258" spans="1:17" x14ac:dyDescent="0.25">
      <c r="A258">
        <v>802</v>
      </c>
      <c r="B258">
        <v>0</v>
      </c>
      <c r="C258">
        <v>0</v>
      </c>
      <c r="D258">
        <v>1</v>
      </c>
      <c r="E258">
        <v>1</v>
      </c>
      <c r="F258">
        <v>-1</v>
      </c>
      <c r="G258">
        <v>0</v>
      </c>
      <c r="H258">
        <v>1</v>
      </c>
      <c r="P258">
        <f t="shared" si="24"/>
        <v>-1.7587904298642194</v>
      </c>
      <c r="Q258">
        <f t="shared" si="23"/>
        <v>0.17225309005907632</v>
      </c>
    </row>
    <row r="259" spans="1:17" x14ac:dyDescent="0.25">
      <c r="A259">
        <v>802</v>
      </c>
      <c r="B259">
        <v>0</v>
      </c>
      <c r="C259">
        <v>1</v>
      </c>
      <c r="D259">
        <v>0</v>
      </c>
      <c r="E259">
        <v>-1</v>
      </c>
      <c r="F259">
        <v>-1</v>
      </c>
      <c r="G259">
        <v>1</v>
      </c>
      <c r="H259">
        <v>0</v>
      </c>
      <c r="P259">
        <f t="shared" si="24"/>
        <v>1.9760623485944482</v>
      </c>
      <c r="Q259">
        <f t="shared" si="23"/>
        <v>7.2142796641606211</v>
      </c>
    </row>
    <row r="260" spans="1:17" x14ac:dyDescent="0.25">
      <c r="A260">
        <v>802</v>
      </c>
      <c r="B260">
        <v>1</v>
      </c>
      <c r="C260">
        <v>1</v>
      </c>
      <c r="D260">
        <v>0</v>
      </c>
      <c r="E260">
        <v>1</v>
      </c>
      <c r="F260">
        <v>1</v>
      </c>
      <c r="G260">
        <v>1</v>
      </c>
      <c r="H260">
        <v>0</v>
      </c>
      <c r="P260">
        <f t="shared" si="24"/>
        <v>2.4639674904819313</v>
      </c>
      <c r="Q260">
        <f t="shared" ref="Q260:Q323" si="25">EXP(P260)</f>
        <v>11.751342512917736</v>
      </c>
    </row>
    <row r="261" spans="1:17" x14ac:dyDescent="0.25">
      <c r="A261">
        <v>803</v>
      </c>
      <c r="B261">
        <v>1</v>
      </c>
      <c r="C261">
        <v>1</v>
      </c>
      <c r="D261">
        <v>0</v>
      </c>
      <c r="E261">
        <v>-1</v>
      </c>
      <c r="F261">
        <v>-1</v>
      </c>
      <c r="G261">
        <v>1</v>
      </c>
      <c r="H261">
        <v>0</v>
      </c>
      <c r="P261">
        <f t="shared" ref="P261:P324" si="26">SUMPRODUCT(C261:H261,$J$3:$O$3)</f>
        <v>1.9760623485944482</v>
      </c>
      <c r="Q261">
        <f t="shared" si="25"/>
        <v>7.2142796641606211</v>
      </c>
    </row>
    <row r="262" spans="1:17" x14ac:dyDescent="0.25">
      <c r="A262">
        <v>803</v>
      </c>
      <c r="B262">
        <v>0</v>
      </c>
      <c r="C262">
        <v>-1</v>
      </c>
      <c r="D262">
        <v>-1</v>
      </c>
      <c r="E262">
        <v>1</v>
      </c>
      <c r="F262">
        <v>-1</v>
      </c>
      <c r="G262">
        <v>0</v>
      </c>
      <c r="H262">
        <v>1</v>
      </c>
      <c r="P262">
        <f t="shared" si="26"/>
        <v>0.21307820585445134</v>
      </c>
      <c r="Q262">
        <f t="shared" si="25"/>
        <v>1.2374814257516533</v>
      </c>
    </row>
    <row r="263" spans="1:17" x14ac:dyDescent="0.25">
      <c r="A263">
        <v>803</v>
      </c>
      <c r="B263">
        <v>0</v>
      </c>
      <c r="C263">
        <v>1</v>
      </c>
      <c r="D263">
        <v>0</v>
      </c>
      <c r="E263">
        <v>1</v>
      </c>
      <c r="F263">
        <v>-1</v>
      </c>
      <c r="G263">
        <v>-1</v>
      </c>
      <c r="H263">
        <v>-1</v>
      </c>
      <c r="P263">
        <f t="shared" si="26"/>
        <v>-0.96743768394048846</v>
      </c>
      <c r="Q263">
        <f t="shared" si="25"/>
        <v>0.38005561415131528</v>
      </c>
    </row>
    <row r="264" spans="1:17" x14ac:dyDescent="0.25">
      <c r="A264">
        <v>804</v>
      </c>
      <c r="B264">
        <v>0</v>
      </c>
      <c r="C264">
        <v>1</v>
      </c>
      <c r="D264">
        <v>0</v>
      </c>
      <c r="E264">
        <v>1</v>
      </c>
      <c r="F264">
        <v>-1</v>
      </c>
      <c r="G264">
        <v>-1</v>
      </c>
      <c r="H264">
        <v>-1</v>
      </c>
      <c r="P264">
        <f t="shared" si="26"/>
        <v>-0.96743768394048846</v>
      </c>
      <c r="Q264">
        <f t="shared" si="25"/>
        <v>0.38005561415131528</v>
      </c>
    </row>
    <row r="265" spans="1:17" x14ac:dyDescent="0.25">
      <c r="A265">
        <v>804</v>
      </c>
      <c r="B265">
        <v>0</v>
      </c>
      <c r="C265">
        <v>-1</v>
      </c>
      <c r="D265">
        <v>-1</v>
      </c>
      <c r="E265">
        <v>1</v>
      </c>
      <c r="F265">
        <v>1</v>
      </c>
      <c r="G265">
        <v>-1</v>
      </c>
      <c r="H265">
        <v>-1</v>
      </c>
      <c r="P265">
        <f t="shared" si="26"/>
        <v>-0.44769296615724818</v>
      </c>
      <c r="Q265">
        <f t="shared" si="25"/>
        <v>0.63910087950999117</v>
      </c>
    </row>
    <row r="266" spans="1:17" x14ac:dyDescent="0.25">
      <c r="A266">
        <v>804</v>
      </c>
      <c r="B266">
        <v>1</v>
      </c>
      <c r="C266">
        <v>1</v>
      </c>
      <c r="D266">
        <v>0</v>
      </c>
      <c r="E266">
        <v>-1</v>
      </c>
      <c r="F266">
        <v>-1</v>
      </c>
      <c r="G266">
        <v>1</v>
      </c>
      <c r="H266">
        <v>0</v>
      </c>
      <c r="P266">
        <f t="shared" si="26"/>
        <v>1.9760623485944482</v>
      </c>
      <c r="Q266">
        <f t="shared" si="25"/>
        <v>7.2142796641606211</v>
      </c>
    </row>
    <row r="267" spans="1:17" x14ac:dyDescent="0.25">
      <c r="A267">
        <v>805</v>
      </c>
      <c r="B267">
        <v>1</v>
      </c>
      <c r="C267">
        <v>-1</v>
      </c>
      <c r="D267">
        <v>-1</v>
      </c>
      <c r="E267">
        <v>-1</v>
      </c>
      <c r="F267">
        <v>-1</v>
      </c>
      <c r="G267">
        <v>1</v>
      </c>
      <c r="H267">
        <v>0</v>
      </c>
      <c r="P267">
        <f t="shared" si="26"/>
        <v>2.0214334480069271</v>
      </c>
      <c r="Q267">
        <f t="shared" si="25"/>
        <v>7.5491384789895326</v>
      </c>
    </row>
    <row r="268" spans="1:17" x14ac:dyDescent="0.25">
      <c r="A268">
        <v>805</v>
      </c>
      <c r="B268">
        <v>0</v>
      </c>
      <c r="C268">
        <v>0</v>
      </c>
      <c r="D268">
        <v>1</v>
      </c>
      <c r="E268">
        <v>1</v>
      </c>
      <c r="F268">
        <v>1</v>
      </c>
      <c r="G268">
        <v>1</v>
      </c>
      <c r="H268">
        <v>0</v>
      </c>
      <c r="P268">
        <f t="shared" si="26"/>
        <v>0.53746995417573973</v>
      </c>
      <c r="Q268">
        <f t="shared" si="25"/>
        <v>1.7116707737529904</v>
      </c>
    </row>
    <row r="269" spans="1:17" x14ac:dyDescent="0.25">
      <c r="A269">
        <v>805</v>
      </c>
      <c r="B269">
        <v>0</v>
      </c>
      <c r="C269">
        <v>1</v>
      </c>
      <c r="D269">
        <v>0</v>
      </c>
      <c r="E269">
        <v>-1</v>
      </c>
      <c r="F269">
        <v>1</v>
      </c>
      <c r="G269">
        <v>0</v>
      </c>
      <c r="H269">
        <v>1</v>
      </c>
      <c r="P269">
        <f t="shared" si="26"/>
        <v>0.62854920129601144</v>
      </c>
      <c r="Q269">
        <f t="shared" si="25"/>
        <v>1.8748885193273188</v>
      </c>
    </row>
    <row r="270" spans="1:17" x14ac:dyDescent="0.25">
      <c r="A270">
        <v>806</v>
      </c>
      <c r="B270">
        <v>1</v>
      </c>
      <c r="C270">
        <v>1</v>
      </c>
      <c r="D270">
        <v>0</v>
      </c>
      <c r="E270">
        <v>-1</v>
      </c>
      <c r="F270">
        <v>1</v>
      </c>
      <c r="G270">
        <v>0</v>
      </c>
      <c r="H270">
        <v>1</v>
      </c>
      <c r="P270">
        <f t="shared" si="26"/>
        <v>0.62854920129601144</v>
      </c>
      <c r="Q270">
        <f t="shared" si="25"/>
        <v>1.8748885193273188</v>
      </c>
    </row>
    <row r="271" spans="1:17" x14ac:dyDescent="0.25">
      <c r="A271">
        <v>806</v>
      </c>
      <c r="B271">
        <v>0</v>
      </c>
      <c r="C271">
        <v>0</v>
      </c>
      <c r="D271">
        <v>1</v>
      </c>
      <c r="E271">
        <v>1</v>
      </c>
      <c r="F271">
        <v>-1</v>
      </c>
      <c r="G271">
        <v>0</v>
      </c>
      <c r="H271">
        <v>1</v>
      </c>
      <c r="P271">
        <f t="shared" si="26"/>
        <v>-1.7587904298642194</v>
      </c>
      <c r="Q271">
        <f t="shared" si="25"/>
        <v>0.17225309005907632</v>
      </c>
    </row>
    <row r="272" spans="1:17" x14ac:dyDescent="0.25">
      <c r="A272">
        <v>806</v>
      </c>
      <c r="B272">
        <v>0</v>
      </c>
      <c r="C272">
        <v>0</v>
      </c>
      <c r="D272">
        <v>1</v>
      </c>
      <c r="E272">
        <v>-1</v>
      </c>
      <c r="F272">
        <v>1</v>
      </c>
      <c r="G272">
        <v>-1</v>
      </c>
      <c r="H272">
        <v>-1</v>
      </c>
      <c r="P272">
        <f t="shared" si="26"/>
        <v>-2.4330931253926411</v>
      </c>
      <c r="Q272">
        <f t="shared" si="25"/>
        <v>8.7764944329027011E-2</v>
      </c>
    </row>
    <row r="273" spans="1:17" x14ac:dyDescent="0.25">
      <c r="A273">
        <v>807</v>
      </c>
      <c r="B273">
        <v>1</v>
      </c>
      <c r="C273">
        <v>-1</v>
      </c>
      <c r="D273">
        <v>-1</v>
      </c>
      <c r="E273">
        <v>-1</v>
      </c>
      <c r="F273">
        <v>1</v>
      </c>
      <c r="G273">
        <v>0</v>
      </c>
      <c r="H273">
        <v>1</v>
      </c>
      <c r="P273">
        <f t="shared" si="26"/>
        <v>0.67392030070849041</v>
      </c>
      <c r="Q273">
        <f t="shared" si="25"/>
        <v>1.9619135553315648</v>
      </c>
    </row>
    <row r="274" spans="1:17" x14ac:dyDescent="0.25">
      <c r="A274">
        <v>807</v>
      </c>
      <c r="B274">
        <v>0</v>
      </c>
      <c r="C274">
        <v>0</v>
      </c>
      <c r="D274">
        <v>1</v>
      </c>
      <c r="E274">
        <v>-1</v>
      </c>
      <c r="F274">
        <v>-1</v>
      </c>
      <c r="G274">
        <v>-1</v>
      </c>
      <c r="H274">
        <v>-1</v>
      </c>
      <c r="P274">
        <f t="shared" si="26"/>
        <v>-2.9074667437634028</v>
      </c>
      <c r="Q274">
        <f t="shared" si="25"/>
        <v>5.4613905795243362E-2</v>
      </c>
    </row>
    <row r="275" spans="1:17" x14ac:dyDescent="0.25">
      <c r="A275">
        <v>807</v>
      </c>
      <c r="B275">
        <v>0</v>
      </c>
      <c r="C275">
        <v>-1</v>
      </c>
      <c r="D275">
        <v>-1</v>
      </c>
      <c r="E275">
        <v>1</v>
      </c>
      <c r="F275">
        <v>1</v>
      </c>
      <c r="G275">
        <v>-1</v>
      </c>
      <c r="H275">
        <v>-1</v>
      </c>
      <c r="P275">
        <f t="shared" si="26"/>
        <v>-0.44769296615724818</v>
      </c>
      <c r="Q275">
        <f t="shared" si="25"/>
        <v>0.63910087950999117</v>
      </c>
    </row>
    <row r="276" spans="1:17" x14ac:dyDescent="0.25">
      <c r="A276">
        <v>808</v>
      </c>
      <c r="B276">
        <v>1</v>
      </c>
      <c r="C276">
        <v>1</v>
      </c>
      <c r="D276">
        <v>0</v>
      </c>
      <c r="E276">
        <v>1</v>
      </c>
      <c r="F276">
        <v>1</v>
      </c>
      <c r="G276">
        <v>1</v>
      </c>
      <c r="H276">
        <v>0</v>
      </c>
      <c r="P276">
        <f t="shared" si="26"/>
        <v>2.4639674904819313</v>
      </c>
      <c r="Q276">
        <f t="shared" si="25"/>
        <v>11.751342512917736</v>
      </c>
    </row>
    <row r="277" spans="1:17" x14ac:dyDescent="0.25">
      <c r="A277">
        <v>808</v>
      </c>
      <c r="B277">
        <v>0</v>
      </c>
      <c r="C277">
        <v>1</v>
      </c>
      <c r="D277">
        <v>0</v>
      </c>
      <c r="E277">
        <v>-1</v>
      </c>
      <c r="F277">
        <v>1</v>
      </c>
      <c r="G277">
        <v>0</v>
      </c>
      <c r="H277">
        <v>1</v>
      </c>
      <c r="P277">
        <f t="shared" si="26"/>
        <v>0.62854920129601144</v>
      </c>
      <c r="Q277">
        <f t="shared" si="25"/>
        <v>1.8748885193273188</v>
      </c>
    </row>
    <row r="278" spans="1:17" x14ac:dyDescent="0.25">
      <c r="A278">
        <v>808</v>
      </c>
      <c r="B278">
        <v>0</v>
      </c>
      <c r="C278">
        <v>-1</v>
      </c>
      <c r="D278">
        <v>-1</v>
      </c>
      <c r="E278">
        <v>-1</v>
      </c>
      <c r="F278">
        <v>-1</v>
      </c>
      <c r="G278">
        <v>1</v>
      </c>
      <c r="H278">
        <v>0</v>
      </c>
      <c r="P278">
        <f t="shared" si="26"/>
        <v>2.0214334480069271</v>
      </c>
      <c r="Q278">
        <f t="shared" si="25"/>
        <v>7.5491384789895326</v>
      </c>
    </row>
    <row r="279" spans="1:17" x14ac:dyDescent="0.25">
      <c r="A279">
        <v>809</v>
      </c>
      <c r="B279">
        <v>0</v>
      </c>
      <c r="C279">
        <v>0</v>
      </c>
      <c r="D279">
        <v>1</v>
      </c>
      <c r="E279">
        <v>-1</v>
      </c>
      <c r="F279">
        <v>-1</v>
      </c>
      <c r="G279">
        <v>-1</v>
      </c>
      <c r="H279">
        <v>-1</v>
      </c>
      <c r="P279">
        <f t="shared" si="26"/>
        <v>-2.9074667437634028</v>
      </c>
      <c r="Q279">
        <f t="shared" si="25"/>
        <v>5.4613905795243362E-2</v>
      </c>
    </row>
    <row r="280" spans="1:17" x14ac:dyDescent="0.25">
      <c r="A280">
        <v>809</v>
      </c>
      <c r="B280">
        <v>0</v>
      </c>
      <c r="C280">
        <v>0</v>
      </c>
      <c r="D280">
        <v>1</v>
      </c>
      <c r="E280">
        <v>-1</v>
      </c>
      <c r="F280">
        <v>1</v>
      </c>
      <c r="G280">
        <v>-1</v>
      </c>
      <c r="H280">
        <v>-1</v>
      </c>
      <c r="P280">
        <f t="shared" si="26"/>
        <v>-2.4330931253926411</v>
      </c>
      <c r="Q280">
        <f t="shared" si="25"/>
        <v>8.7764944329027011E-2</v>
      </c>
    </row>
    <row r="281" spans="1:17" x14ac:dyDescent="0.25">
      <c r="A281">
        <v>809</v>
      </c>
      <c r="B281">
        <v>1</v>
      </c>
      <c r="C281">
        <v>0</v>
      </c>
      <c r="D281">
        <v>1</v>
      </c>
      <c r="E281">
        <v>1</v>
      </c>
      <c r="F281">
        <v>-1</v>
      </c>
      <c r="G281">
        <v>0</v>
      </c>
      <c r="H281">
        <v>1</v>
      </c>
      <c r="P281">
        <f t="shared" si="26"/>
        <v>-1.7587904298642194</v>
      </c>
      <c r="Q281">
        <f t="shared" si="25"/>
        <v>0.17225309005907632</v>
      </c>
    </row>
    <row r="282" spans="1:17" x14ac:dyDescent="0.25">
      <c r="A282">
        <v>810</v>
      </c>
      <c r="B282">
        <v>0</v>
      </c>
      <c r="C282">
        <v>0</v>
      </c>
      <c r="D282">
        <v>1</v>
      </c>
      <c r="E282">
        <v>1</v>
      </c>
      <c r="F282">
        <v>1</v>
      </c>
      <c r="G282">
        <v>1</v>
      </c>
      <c r="H282">
        <v>0</v>
      </c>
      <c r="P282">
        <f t="shared" si="26"/>
        <v>0.53746995417573973</v>
      </c>
      <c r="Q282">
        <f t="shared" si="25"/>
        <v>1.7116707737529904</v>
      </c>
    </row>
    <row r="283" spans="1:17" x14ac:dyDescent="0.25">
      <c r="A283">
        <v>810</v>
      </c>
      <c r="B283">
        <v>1</v>
      </c>
      <c r="C283">
        <v>-1</v>
      </c>
      <c r="D283">
        <v>-1</v>
      </c>
      <c r="E283">
        <v>-1</v>
      </c>
      <c r="F283">
        <v>-1</v>
      </c>
      <c r="G283">
        <v>1</v>
      </c>
      <c r="H283">
        <v>0</v>
      </c>
      <c r="P283">
        <f t="shared" si="26"/>
        <v>2.0214334480069271</v>
      </c>
      <c r="Q283">
        <f t="shared" si="25"/>
        <v>7.5491384789895326</v>
      </c>
    </row>
    <row r="284" spans="1:17" x14ac:dyDescent="0.25">
      <c r="A284">
        <v>810</v>
      </c>
      <c r="B284">
        <v>0</v>
      </c>
      <c r="C284">
        <v>-1</v>
      </c>
      <c r="D284">
        <v>-1</v>
      </c>
      <c r="E284">
        <v>-1</v>
      </c>
      <c r="F284">
        <v>1</v>
      </c>
      <c r="G284">
        <v>0</v>
      </c>
      <c r="H284">
        <v>1</v>
      </c>
      <c r="P284">
        <f t="shared" si="26"/>
        <v>0.67392030070849041</v>
      </c>
      <c r="Q284">
        <f t="shared" si="25"/>
        <v>1.9619135553315648</v>
      </c>
    </row>
    <row r="285" spans="1:17" x14ac:dyDescent="0.25">
      <c r="A285">
        <v>811</v>
      </c>
      <c r="B285">
        <v>0</v>
      </c>
      <c r="C285">
        <v>-1</v>
      </c>
      <c r="D285">
        <v>-1</v>
      </c>
      <c r="E285">
        <v>1</v>
      </c>
      <c r="F285">
        <v>-1</v>
      </c>
      <c r="G285">
        <v>0</v>
      </c>
      <c r="H285">
        <v>1</v>
      </c>
      <c r="P285">
        <f t="shared" si="26"/>
        <v>0.21307820585445134</v>
      </c>
      <c r="Q285">
        <f t="shared" si="25"/>
        <v>1.2374814257516533</v>
      </c>
    </row>
    <row r="286" spans="1:17" x14ac:dyDescent="0.25">
      <c r="A286">
        <v>811</v>
      </c>
      <c r="B286">
        <v>1</v>
      </c>
      <c r="C286">
        <v>-1</v>
      </c>
      <c r="D286">
        <v>-1</v>
      </c>
      <c r="E286">
        <v>-1</v>
      </c>
      <c r="F286">
        <v>1</v>
      </c>
      <c r="G286">
        <v>0</v>
      </c>
      <c r="H286">
        <v>1</v>
      </c>
      <c r="P286">
        <f t="shared" si="26"/>
        <v>0.67392030070849041</v>
      </c>
      <c r="Q286">
        <f t="shared" si="25"/>
        <v>1.9619135553315648</v>
      </c>
    </row>
    <row r="287" spans="1:17" x14ac:dyDescent="0.25">
      <c r="A287">
        <v>811</v>
      </c>
      <c r="B287">
        <v>0</v>
      </c>
      <c r="C287">
        <v>0</v>
      </c>
      <c r="D287">
        <v>1</v>
      </c>
      <c r="E287">
        <v>-1</v>
      </c>
      <c r="F287">
        <v>-1</v>
      </c>
      <c r="G287">
        <v>-1</v>
      </c>
      <c r="H287">
        <v>-1</v>
      </c>
      <c r="P287">
        <f t="shared" si="26"/>
        <v>-2.9074667437634028</v>
      </c>
      <c r="Q287">
        <f t="shared" si="25"/>
        <v>5.4613905795243362E-2</v>
      </c>
    </row>
    <row r="288" spans="1:17" x14ac:dyDescent="0.25">
      <c r="A288">
        <v>812</v>
      </c>
      <c r="B288">
        <v>0</v>
      </c>
      <c r="C288">
        <v>-1</v>
      </c>
      <c r="D288">
        <v>-1</v>
      </c>
      <c r="E288">
        <v>1</v>
      </c>
      <c r="F288">
        <v>1</v>
      </c>
      <c r="G288">
        <v>-1</v>
      </c>
      <c r="H288">
        <v>-1</v>
      </c>
      <c r="P288">
        <f t="shared" si="26"/>
        <v>-0.44769296615724818</v>
      </c>
      <c r="Q288">
        <f t="shared" si="25"/>
        <v>0.63910087950999117</v>
      </c>
    </row>
    <row r="289" spans="1:17" x14ac:dyDescent="0.25">
      <c r="A289">
        <v>812</v>
      </c>
      <c r="B289">
        <v>1</v>
      </c>
      <c r="C289">
        <v>1</v>
      </c>
      <c r="D289">
        <v>0</v>
      </c>
      <c r="E289">
        <v>1</v>
      </c>
      <c r="F289">
        <v>1</v>
      </c>
      <c r="G289">
        <v>1</v>
      </c>
      <c r="H289">
        <v>0</v>
      </c>
      <c r="P289">
        <f t="shared" si="26"/>
        <v>2.4639674904819313</v>
      </c>
      <c r="Q289">
        <f t="shared" si="25"/>
        <v>11.751342512917736</v>
      </c>
    </row>
    <row r="290" spans="1:17" x14ac:dyDescent="0.25">
      <c r="A290">
        <v>812</v>
      </c>
      <c r="B290">
        <v>0</v>
      </c>
      <c r="C290">
        <v>-1</v>
      </c>
      <c r="D290">
        <v>-1</v>
      </c>
      <c r="E290">
        <v>1</v>
      </c>
      <c r="F290">
        <v>-1</v>
      </c>
      <c r="G290">
        <v>0</v>
      </c>
      <c r="H290">
        <v>1</v>
      </c>
      <c r="P290">
        <f t="shared" si="26"/>
        <v>0.21307820585445134</v>
      </c>
      <c r="Q290">
        <f t="shared" si="25"/>
        <v>1.2374814257516533</v>
      </c>
    </row>
    <row r="291" spans="1:17" x14ac:dyDescent="0.25">
      <c r="A291">
        <v>901</v>
      </c>
      <c r="B291">
        <v>0</v>
      </c>
      <c r="C291">
        <v>0</v>
      </c>
      <c r="D291">
        <v>1</v>
      </c>
      <c r="E291">
        <v>-1</v>
      </c>
      <c r="F291">
        <v>1</v>
      </c>
      <c r="G291">
        <v>-1</v>
      </c>
      <c r="H291">
        <v>-1</v>
      </c>
      <c r="P291">
        <f t="shared" si="26"/>
        <v>-2.4330931253926411</v>
      </c>
      <c r="Q291">
        <f t="shared" si="25"/>
        <v>8.7764944329027011E-2</v>
      </c>
    </row>
    <row r="292" spans="1:17" x14ac:dyDescent="0.25">
      <c r="A292">
        <v>901</v>
      </c>
      <c r="B292">
        <v>1</v>
      </c>
      <c r="C292">
        <v>1</v>
      </c>
      <c r="D292">
        <v>0</v>
      </c>
      <c r="E292">
        <v>1</v>
      </c>
      <c r="F292">
        <v>-1</v>
      </c>
      <c r="G292">
        <v>-1</v>
      </c>
      <c r="H292">
        <v>-1</v>
      </c>
      <c r="P292">
        <f t="shared" si="26"/>
        <v>-0.96743768394048846</v>
      </c>
      <c r="Q292">
        <f t="shared" si="25"/>
        <v>0.38005561415131528</v>
      </c>
    </row>
    <row r="293" spans="1:17" x14ac:dyDescent="0.25">
      <c r="A293">
        <v>901</v>
      </c>
      <c r="B293">
        <v>0</v>
      </c>
      <c r="C293">
        <v>0</v>
      </c>
      <c r="D293">
        <v>1</v>
      </c>
      <c r="E293">
        <v>1</v>
      </c>
      <c r="F293">
        <v>1</v>
      </c>
      <c r="G293">
        <v>1</v>
      </c>
      <c r="H293">
        <v>0</v>
      </c>
      <c r="P293">
        <f t="shared" si="26"/>
        <v>0.53746995417573973</v>
      </c>
      <c r="Q293">
        <f t="shared" si="25"/>
        <v>1.7116707737529904</v>
      </c>
    </row>
    <row r="294" spans="1:17" x14ac:dyDescent="0.25">
      <c r="A294">
        <v>902</v>
      </c>
      <c r="B294">
        <v>0</v>
      </c>
      <c r="C294">
        <v>0</v>
      </c>
      <c r="D294">
        <v>1</v>
      </c>
      <c r="E294">
        <v>1</v>
      </c>
      <c r="F294">
        <v>-1</v>
      </c>
      <c r="G294">
        <v>0</v>
      </c>
      <c r="H294">
        <v>1</v>
      </c>
      <c r="P294">
        <f t="shared" si="26"/>
        <v>-1.7587904298642194</v>
      </c>
      <c r="Q294">
        <f t="shared" si="25"/>
        <v>0.17225309005907632</v>
      </c>
    </row>
    <row r="295" spans="1:17" x14ac:dyDescent="0.25">
      <c r="A295">
        <v>902</v>
      </c>
      <c r="B295">
        <v>1</v>
      </c>
      <c r="C295">
        <v>1</v>
      </c>
      <c r="D295">
        <v>0</v>
      </c>
      <c r="E295">
        <v>-1</v>
      </c>
      <c r="F295">
        <v>-1</v>
      </c>
      <c r="G295">
        <v>1</v>
      </c>
      <c r="H295">
        <v>0</v>
      </c>
      <c r="P295">
        <f t="shared" si="26"/>
        <v>1.9760623485944482</v>
      </c>
      <c r="Q295">
        <f t="shared" si="25"/>
        <v>7.2142796641606211</v>
      </c>
    </row>
    <row r="296" spans="1:17" x14ac:dyDescent="0.25">
      <c r="A296">
        <v>902</v>
      </c>
      <c r="B296">
        <v>0</v>
      </c>
      <c r="C296">
        <v>1</v>
      </c>
      <c r="D296">
        <v>0</v>
      </c>
      <c r="E296">
        <v>1</v>
      </c>
      <c r="F296">
        <v>1</v>
      </c>
      <c r="G296">
        <v>1</v>
      </c>
      <c r="H296">
        <v>0</v>
      </c>
      <c r="P296">
        <f t="shared" si="26"/>
        <v>2.4639674904819313</v>
      </c>
      <c r="Q296">
        <f t="shared" si="25"/>
        <v>11.751342512917736</v>
      </c>
    </row>
    <row r="297" spans="1:17" x14ac:dyDescent="0.25">
      <c r="A297">
        <v>903</v>
      </c>
      <c r="B297">
        <v>0</v>
      </c>
      <c r="C297">
        <v>1</v>
      </c>
      <c r="D297">
        <v>0</v>
      </c>
      <c r="E297">
        <v>-1</v>
      </c>
      <c r="F297">
        <v>-1</v>
      </c>
      <c r="G297">
        <v>1</v>
      </c>
      <c r="H297">
        <v>0</v>
      </c>
      <c r="P297">
        <f t="shared" si="26"/>
        <v>1.9760623485944482</v>
      </c>
      <c r="Q297">
        <f t="shared" si="25"/>
        <v>7.2142796641606211</v>
      </c>
    </row>
    <row r="298" spans="1:17" x14ac:dyDescent="0.25">
      <c r="A298">
        <v>903</v>
      </c>
      <c r="B298">
        <v>0</v>
      </c>
      <c r="C298">
        <v>-1</v>
      </c>
      <c r="D298">
        <v>-1</v>
      </c>
      <c r="E298">
        <v>1</v>
      </c>
      <c r="F298">
        <v>-1</v>
      </c>
      <c r="G298">
        <v>0</v>
      </c>
      <c r="H298">
        <v>1</v>
      </c>
      <c r="P298">
        <f t="shared" si="26"/>
        <v>0.21307820585445134</v>
      </c>
      <c r="Q298">
        <f t="shared" si="25"/>
        <v>1.2374814257516533</v>
      </c>
    </row>
    <row r="299" spans="1:17" x14ac:dyDescent="0.25">
      <c r="A299">
        <v>903</v>
      </c>
      <c r="B299">
        <v>1</v>
      </c>
      <c r="C299">
        <v>1</v>
      </c>
      <c r="D299">
        <v>0</v>
      </c>
      <c r="E299">
        <v>1</v>
      </c>
      <c r="F299">
        <v>-1</v>
      </c>
      <c r="G299">
        <v>-1</v>
      </c>
      <c r="H299">
        <v>-1</v>
      </c>
      <c r="P299">
        <f t="shared" si="26"/>
        <v>-0.96743768394048846</v>
      </c>
      <c r="Q299">
        <f t="shared" si="25"/>
        <v>0.38005561415131528</v>
      </c>
    </row>
    <row r="300" spans="1:17" x14ac:dyDescent="0.25">
      <c r="A300">
        <v>904</v>
      </c>
      <c r="B300">
        <v>1</v>
      </c>
      <c r="C300">
        <v>1</v>
      </c>
      <c r="D300">
        <v>0</v>
      </c>
      <c r="E300">
        <v>1</v>
      </c>
      <c r="F300">
        <v>-1</v>
      </c>
      <c r="G300">
        <v>-1</v>
      </c>
      <c r="H300">
        <v>-1</v>
      </c>
      <c r="P300">
        <f t="shared" si="26"/>
        <v>-0.96743768394048846</v>
      </c>
      <c r="Q300">
        <f t="shared" si="25"/>
        <v>0.38005561415131528</v>
      </c>
    </row>
    <row r="301" spans="1:17" x14ac:dyDescent="0.25">
      <c r="A301">
        <v>904</v>
      </c>
      <c r="B301">
        <v>0</v>
      </c>
      <c r="C301">
        <v>-1</v>
      </c>
      <c r="D301">
        <v>-1</v>
      </c>
      <c r="E301">
        <v>1</v>
      </c>
      <c r="F301">
        <v>1</v>
      </c>
      <c r="G301">
        <v>-1</v>
      </c>
      <c r="H301">
        <v>-1</v>
      </c>
      <c r="P301">
        <f t="shared" si="26"/>
        <v>-0.44769296615724818</v>
      </c>
      <c r="Q301">
        <f t="shared" si="25"/>
        <v>0.63910087950999117</v>
      </c>
    </row>
    <row r="302" spans="1:17" x14ac:dyDescent="0.25">
      <c r="A302">
        <v>904</v>
      </c>
      <c r="B302">
        <v>0</v>
      </c>
      <c r="C302">
        <v>1</v>
      </c>
      <c r="D302">
        <v>0</v>
      </c>
      <c r="E302">
        <v>-1</v>
      </c>
      <c r="F302">
        <v>-1</v>
      </c>
      <c r="G302">
        <v>1</v>
      </c>
      <c r="H302">
        <v>0</v>
      </c>
      <c r="P302">
        <f t="shared" si="26"/>
        <v>1.9760623485944482</v>
      </c>
      <c r="Q302">
        <f t="shared" si="25"/>
        <v>7.2142796641606211</v>
      </c>
    </row>
    <row r="303" spans="1:17" x14ac:dyDescent="0.25">
      <c r="A303">
        <v>905</v>
      </c>
      <c r="B303">
        <v>1</v>
      </c>
      <c r="C303">
        <v>-1</v>
      </c>
      <c r="D303">
        <v>-1</v>
      </c>
      <c r="E303">
        <v>-1</v>
      </c>
      <c r="F303">
        <v>-1</v>
      </c>
      <c r="G303">
        <v>1</v>
      </c>
      <c r="H303">
        <v>0</v>
      </c>
      <c r="P303">
        <f t="shared" si="26"/>
        <v>2.0214334480069271</v>
      </c>
      <c r="Q303">
        <f t="shared" si="25"/>
        <v>7.5491384789895326</v>
      </c>
    </row>
    <row r="304" spans="1:17" x14ac:dyDescent="0.25">
      <c r="A304">
        <v>905</v>
      </c>
      <c r="B304">
        <v>0</v>
      </c>
      <c r="C304">
        <v>0</v>
      </c>
      <c r="D304">
        <v>1</v>
      </c>
      <c r="E304">
        <v>1</v>
      </c>
      <c r="F304">
        <v>1</v>
      </c>
      <c r="G304">
        <v>1</v>
      </c>
      <c r="H304">
        <v>0</v>
      </c>
      <c r="P304">
        <f t="shared" si="26"/>
        <v>0.53746995417573973</v>
      </c>
      <c r="Q304">
        <f t="shared" si="25"/>
        <v>1.7116707737529904</v>
      </c>
    </row>
    <row r="305" spans="1:17" x14ac:dyDescent="0.25">
      <c r="A305">
        <v>905</v>
      </c>
      <c r="B305">
        <v>0</v>
      </c>
      <c r="C305">
        <v>1</v>
      </c>
      <c r="D305">
        <v>0</v>
      </c>
      <c r="E305">
        <v>-1</v>
      </c>
      <c r="F305">
        <v>1</v>
      </c>
      <c r="G305">
        <v>0</v>
      </c>
      <c r="H305">
        <v>1</v>
      </c>
      <c r="P305">
        <f t="shared" si="26"/>
        <v>0.62854920129601144</v>
      </c>
      <c r="Q305">
        <f t="shared" si="25"/>
        <v>1.8748885193273188</v>
      </c>
    </row>
    <row r="306" spans="1:17" x14ac:dyDescent="0.25">
      <c r="A306">
        <v>906</v>
      </c>
      <c r="B306">
        <v>0</v>
      </c>
      <c r="C306">
        <v>1</v>
      </c>
      <c r="D306">
        <v>0</v>
      </c>
      <c r="E306">
        <v>-1</v>
      </c>
      <c r="F306">
        <v>1</v>
      </c>
      <c r="G306">
        <v>0</v>
      </c>
      <c r="H306">
        <v>1</v>
      </c>
      <c r="P306">
        <f t="shared" si="26"/>
        <v>0.62854920129601144</v>
      </c>
      <c r="Q306">
        <f t="shared" si="25"/>
        <v>1.8748885193273188</v>
      </c>
    </row>
    <row r="307" spans="1:17" x14ac:dyDescent="0.25">
      <c r="A307">
        <v>906</v>
      </c>
      <c r="B307">
        <v>0</v>
      </c>
      <c r="C307">
        <v>0</v>
      </c>
      <c r="D307">
        <v>1</v>
      </c>
      <c r="E307">
        <v>1</v>
      </c>
      <c r="F307">
        <v>-1</v>
      </c>
      <c r="G307">
        <v>0</v>
      </c>
      <c r="H307">
        <v>1</v>
      </c>
      <c r="P307">
        <f t="shared" si="26"/>
        <v>-1.7587904298642194</v>
      </c>
      <c r="Q307">
        <f t="shared" si="25"/>
        <v>0.17225309005907632</v>
      </c>
    </row>
    <row r="308" spans="1:17" x14ac:dyDescent="0.25">
      <c r="A308">
        <v>906</v>
      </c>
      <c r="B308">
        <v>1</v>
      </c>
      <c r="C308">
        <v>0</v>
      </c>
      <c r="D308">
        <v>1</v>
      </c>
      <c r="E308">
        <v>-1</v>
      </c>
      <c r="F308">
        <v>1</v>
      </c>
      <c r="G308">
        <v>-1</v>
      </c>
      <c r="H308">
        <v>-1</v>
      </c>
      <c r="P308">
        <f t="shared" si="26"/>
        <v>-2.4330931253926411</v>
      </c>
      <c r="Q308">
        <f t="shared" si="25"/>
        <v>8.7764944329027011E-2</v>
      </c>
    </row>
    <row r="309" spans="1:17" x14ac:dyDescent="0.25">
      <c r="A309">
        <v>907</v>
      </c>
      <c r="B309">
        <v>0</v>
      </c>
      <c r="C309">
        <v>-1</v>
      </c>
      <c r="D309">
        <v>-1</v>
      </c>
      <c r="E309">
        <v>-1</v>
      </c>
      <c r="F309">
        <v>1</v>
      </c>
      <c r="G309">
        <v>0</v>
      </c>
      <c r="H309">
        <v>1</v>
      </c>
      <c r="P309">
        <f t="shared" si="26"/>
        <v>0.67392030070849041</v>
      </c>
      <c r="Q309">
        <f t="shared" si="25"/>
        <v>1.9619135553315648</v>
      </c>
    </row>
    <row r="310" spans="1:17" x14ac:dyDescent="0.25">
      <c r="A310">
        <v>907</v>
      </c>
      <c r="B310">
        <v>1</v>
      </c>
      <c r="C310">
        <v>0</v>
      </c>
      <c r="D310">
        <v>1</v>
      </c>
      <c r="E310">
        <v>-1</v>
      </c>
      <c r="F310">
        <v>-1</v>
      </c>
      <c r="G310">
        <v>-1</v>
      </c>
      <c r="H310">
        <v>-1</v>
      </c>
      <c r="P310">
        <f t="shared" si="26"/>
        <v>-2.9074667437634028</v>
      </c>
      <c r="Q310">
        <f t="shared" si="25"/>
        <v>5.4613905795243362E-2</v>
      </c>
    </row>
    <row r="311" spans="1:17" x14ac:dyDescent="0.25">
      <c r="A311">
        <v>907</v>
      </c>
      <c r="B311">
        <v>0</v>
      </c>
      <c r="C311">
        <v>-1</v>
      </c>
      <c r="D311">
        <v>-1</v>
      </c>
      <c r="E311">
        <v>1</v>
      </c>
      <c r="F311">
        <v>1</v>
      </c>
      <c r="G311">
        <v>-1</v>
      </c>
      <c r="H311">
        <v>-1</v>
      </c>
      <c r="P311">
        <f t="shared" si="26"/>
        <v>-0.44769296615724818</v>
      </c>
      <c r="Q311">
        <f t="shared" si="25"/>
        <v>0.63910087950999117</v>
      </c>
    </row>
    <row r="312" spans="1:17" x14ac:dyDescent="0.25">
      <c r="A312">
        <v>908</v>
      </c>
      <c r="B312">
        <v>0</v>
      </c>
      <c r="C312">
        <v>1</v>
      </c>
      <c r="D312">
        <v>0</v>
      </c>
      <c r="E312">
        <v>1</v>
      </c>
      <c r="F312">
        <v>1</v>
      </c>
      <c r="G312">
        <v>1</v>
      </c>
      <c r="H312">
        <v>0</v>
      </c>
      <c r="P312">
        <f t="shared" si="26"/>
        <v>2.4639674904819313</v>
      </c>
      <c r="Q312">
        <f t="shared" si="25"/>
        <v>11.751342512917736</v>
      </c>
    </row>
    <row r="313" spans="1:17" x14ac:dyDescent="0.25">
      <c r="A313">
        <v>908</v>
      </c>
      <c r="B313">
        <v>0</v>
      </c>
      <c r="C313">
        <v>1</v>
      </c>
      <c r="D313">
        <v>0</v>
      </c>
      <c r="E313">
        <v>-1</v>
      </c>
      <c r="F313">
        <v>1</v>
      </c>
      <c r="G313">
        <v>0</v>
      </c>
      <c r="H313">
        <v>1</v>
      </c>
      <c r="P313">
        <f t="shared" si="26"/>
        <v>0.62854920129601144</v>
      </c>
      <c r="Q313">
        <f t="shared" si="25"/>
        <v>1.8748885193273188</v>
      </c>
    </row>
    <row r="314" spans="1:17" x14ac:dyDescent="0.25">
      <c r="A314">
        <v>908</v>
      </c>
      <c r="B314">
        <v>1</v>
      </c>
      <c r="C314">
        <v>-1</v>
      </c>
      <c r="D314">
        <v>-1</v>
      </c>
      <c r="E314">
        <v>-1</v>
      </c>
      <c r="F314">
        <v>-1</v>
      </c>
      <c r="G314">
        <v>1</v>
      </c>
      <c r="H314">
        <v>0</v>
      </c>
      <c r="P314">
        <f t="shared" si="26"/>
        <v>2.0214334480069271</v>
      </c>
      <c r="Q314">
        <f t="shared" si="25"/>
        <v>7.5491384789895326</v>
      </c>
    </row>
    <row r="315" spans="1:17" x14ac:dyDescent="0.25">
      <c r="A315">
        <v>909</v>
      </c>
      <c r="B315">
        <v>1</v>
      </c>
      <c r="C315">
        <v>0</v>
      </c>
      <c r="D315">
        <v>1</v>
      </c>
      <c r="E315">
        <v>-1</v>
      </c>
      <c r="F315">
        <v>-1</v>
      </c>
      <c r="G315">
        <v>-1</v>
      </c>
      <c r="H315">
        <v>-1</v>
      </c>
      <c r="P315">
        <f t="shared" si="26"/>
        <v>-2.9074667437634028</v>
      </c>
      <c r="Q315">
        <f t="shared" si="25"/>
        <v>5.4613905795243362E-2</v>
      </c>
    </row>
    <row r="316" spans="1:17" x14ac:dyDescent="0.25">
      <c r="A316">
        <v>909</v>
      </c>
      <c r="B316">
        <v>0</v>
      </c>
      <c r="C316">
        <v>0</v>
      </c>
      <c r="D316">
        <v>1</v>
      </c>
      <c r="E316">
        <v>-1</v>
      </c>
      <c r="F316">
        <v>1</v>
      </c>
      <c r="G316">
        <v>-1</v>
      </c>
      <c r="H316">
        <v>-1</v>
      </c>
      <c r="P316">
        <f t="shared" si="26"/>
        <v>-2.4330931253926411</v>
      </c>
      <c r="Q316">
        <f t="shared" si="25"/>
        <v>8.7764944329027011E-2</v>
      </c>
    </row>
    <row r="317" spans="1:17" x14ac:dyDescent="0.25">
      <c r="A317">
        <v>909</v>
      </c>
      <c r="B317">
        <v>0</v>
      </c>
      <c r="C317">
        <v>0</v>
      </c>
      <c r="D317">
        <v>1</v>
      </c>
      <c r="E317">
        <v>1</v>
      </c>
      <c r="F317">
        <v>-1</v>
      </c>
      <c r="G317">
        <v>0</v>
      </c>
      <c r="H317">
        <v>1</v>
      </c>
      <c r="P317">
        <f t="shared" si="26"/>
        <v>-1.7587904298642194</v>
      </c>
      <c r="Q317">
        <f t="shared" si="25"/>
        <v>0.17225309005907632</v>
      </c>
    </row>
    <row r="318" spans="1:17" x14ac:dyDescent="0.25">
      <c r="A318">
        <v>910</v>
      </c>
      <c r="B318">
        <v>0</v>
      </c>
      <c r="C318">
        <v>0</v>
      </c>
      <c r="D318">
        <v>1</v>
      </c>
      <c r="E318">
        <v>1</v>
      </c>
      <c r="F318">
        <v>1</v>
      </c>
      <c r="G318">
        <v>1</v>
      </c>
      <c r="H318">
        <v>0</v>
      </c>
      <c r="P318">
        <f t="shared" si="26"/>
        <v>0.53746995417573973</v>
      </c>
      <c r="Q318">
        <f t="shared" si="25"/>
        <v>1.7116707737529904</v>
      </c>
    </row>
    <row r="319" spans="1:17" x14ac:dyDescent="0.25">
      <c r="A319">
        <v>910</v>
      </c>
      <c r="B319">
        <v>1</v>
      </c>
      <c r="C319">
        <v>-1</v>
      </c>
      <c r="D319">
        <v>-1</v>
      </c>
      <c r="E319">
        <v>-1</v>
      </c>
      <c r="F319">
        <v>-1</v>
      </c>
      <c r="G319">
        <v>1</v>
      </c>
      <c r="H319">
        <v>0</v>
      </c>
      <c r="P319">
        <f t="shared" si="26"/>
        <v>2.0214334480069271</v>
      </c>
      <c r="Q319">
        <f t="shared" si="25"/>
        <v>7.5491384789895326</v>
      </c>
    </row>
    <row r="320" spans="1:17" x14ac:dyDescent="0.25">
      <c r="A320">
        <v>910</v>
      </c>
      <c r="B320">
        <v>0</v>
      </c>
      <c r="C320">
        <v>-1</v>
      </c>
      <c r="D320">
        <v>-1</v>
      </c>
      <c r="E320">
        <v>-1</v>
      </c>
      <c r="F320">
        <v>1</v>
      </c>
      <c r="G320">
        <v>0</v>
      </c>
      <c r="H320">
        <v>1</v>
      </c>
      <c r="P320">
        <f t="shared" si="26"/>
        <v>0.67392030070849041</v>
      </c>
      <c r="Q320">
        <f t="shared" si="25"/>
        <v>1.9619135553315648</v>
      </c>
    </row>
    <row r="321" spans="1:17" x14ac:dyDescent="0.25">
      <c r="A321">
        <v>911</v>
      </c>
      <c r="B321">
        <v>0</v>
      </c>
      <c r="C321">
        <v>-1</v>
      </c>
      <c r="D321">
        <v>-1</v>
      </c>
      <c r="E321">
        <v>1</v>
      </c>
      <c r="F321">
        <v>-1</v>
      </c>
      <c r="G321">
        <v>0</v>
      </c>
      <c r="H321">
        <v>1</v>
      </c>
      <c r="P321">
        <f t="shared" si="26"/>
        <v>0.21307820585445134</v>
      </c>
      <c r="Q321">
        <f t="shared" si="25"/>
        <v>1.2374814257516533</v>
      </c>
    </row>
    <row r="322" spans="1:17" x14ac:dyDescent="0.25">
      <c r="A322">
        <v>911</v>
      </c>
      <c r="B322">
        <v>0</v>
      </c>
      <c r="C322">
        <v>-1</v>
      </c>
      <c r="D322">
        <v>-1</v>
      </c>
      <c r="E322">
        <v>-1</v>
      </c>
      <c r="F322">
        <v>1</v>
      </c>
      <c r="G322">
        <v>0</v>
      </c>
      <c r="H322">
        <v>1</v>
      </c>
      <c r="P322">
        <f t="shared" si="26"/>
        <v>0.67392030070849041</v>
      </c>
      <c r="Q322">
        <f t="shared" si="25"/>
        <v>1.9619135553315648</v>
      </c>
    </row>
    <row r="323" spans="1:17" x14ac:dyDescent="0.25">
      <c r="A323">
        <v>911</v>
      </c>
      <c r="B323">
        <v>1</v>
      </c>
      <c r="C323">
        <v>0</v>
      </c>
      <c r="D323">
        <v>1</v>
      </c>
      <c r="E323">
        <v>-1</v>
      </c>
      <c r="F323">
        <v>-1</v>
      </c>
      <c r="G323">
        <v>-1</v>
      </c>
      <c r="H323">
        <v>-1</v>
      </c>
      <c r="P323">
        <f t="shared" si="26"/>
        <v>-2.9074667437634028</v>
      </c>
      <c r="Q323">
        <f t="shared" si="25"/>
        <v>5.4613905795243362E-2</v>
      </c>
    </row>
    <row r="324" spans="1:17" x14ac:dyDescent="0.25">
      <c r="A324">
        <v>912</v>
      </c>
      <c r="B324">
        <v>0</v>
      </c>
      <c r="C324">
        <v>-1</v>
      </c>
      <c r="D324">
        <v>-1</v>
      </c>
      <c r="E324">
        <v>1</v>
      </c>
      <c r="F324">
        <v>1</v>
      </c>
      <c r="G324">
        <v>-1</v>
      </c>
      <c r="H324">
        <v>-1</v>
      </c>
      <c r="P324">
        <f t="shared" si="26"/>
        <v>-0.44769296615724818</v>
      </c>
      <c r="Q324">
        <f t="shared" ref="Q324:Q362" si="27">EXP(P324)</f>
        <v>0.63910087950999117</v>
      </c>
    </row>
    <row r="325" spans="1:17" x14ac:dyDescent="0.25">
      <c r="A325">
        <v>912</v>
      </c>
      <c r="B325">
        <v>0</v>
      </c>
      <c r="C325">
        <v>1</v>
      </c>
      <c r="D325">
        <v>0</v>
      </c>
      <c r="E325">
        <v>1</v>
      </c>
      <c r="F325">
        <v>1</v>
      </c>
      <c r="G325">
        <v>1</v>
      </c>
      <c r="H325">
        <v>0</v>
      </c>
      <c r="P325">
        <f t="shared" ref="P325:P361" si="28">SUMPRODUCT(C325:H325,$J$3:$O$3)</f>
        <v>2.4639674904819313</v>
      </c>
      <c r="Q325">
        <f t="shared" si="27"/>
        <v>11.751342512917736</v>
      </c>
    </row>
    <row r="326" spans="1:17" x14ac:dyDescent="0.25">
      <c r="A326">
        <v>912</v>
      </c>
      <c r="B326">
        <v>1</v>
      </c>
      <c r="C326">
        <v>-1</v>
      </c>
      <c r="D326">
        <v>-1</v>
      </c>
      <c r="E326">
        <v>1</v>
      </c>
      <c r="F326">
        <v>-1</v>
      </c>
      <c r="G326">
        <v>0</v>
      </c>
      <c r="H326">
        <v>1</v>
      </c>
      <c r="P326">
        <f t="shared" si="28"/>
        <v>0.21307820585445134</v>
      </c>
      <c r="Q326">
        <f t="shared" si="27"/>
        <v>1.2374814257516533</v>
      </c>
    </row>
    <row r="327" spans="1:17" x14ac:dyDescent="0.25">
      <c r="A327">
        <v>1001</v>
      </c>
      <c r="B327">
        <v>1</v>
      </c>
      <c r="C327">
        <v>0</v>
      </c>
      <c r="D327">
        <v>1</v>
      </c>
      <c r="E327">
        <v>-1</v>
      </c>
      <c r="F327">
        <v>1</v>
      </c>
      <c r="G327">
        <v>-1</v>
      </c>
      <c r="H327">
        <v>-1</v>
      </c>
      <c r="P327">
        <f t="shared" si="28"/>
        <v>-2.4330931253926411</v>
      </c>
      <c r="Q327">
        <f t="shared" si="27"/>
        <v>8.7764944329027011E-2</v>
      </c>
    </row>
    <row r="328" spans="1:17" x14ac:dyDescent="0.25">
      <c r="A328">
        <v>1001</v>
      </c>
      <c r="B328">
        <v>0</v>
      </c>
      <c r="C328">
        <v>1</v>
      </c>
      <c r="D328">
        <v>0</v>
      </c>
      <c r="E328">
        <v>1</v>
      </c>
      <c r="F328">
        <v>-1</v>
      </c>
      <c r="G328">
        <v>-1</v>
      </c>
      <c r="H328">
        <v>-1</v>
      </c>
      <c r="P328">
        <f t="shared" si="28"/>
        <v>-0.96743768394048846</v>
      </c>
      <c r="Q328">
        <f t="shared" si="27"/>
        <v>0.38005561415131528</v>
      </c>
    </row>
    <row r="329" spans="1:17" x14ac:dyDescent="0.25">
      <c r="A329">
        <v>1001</v>
      </c>
      <c r="B329">
        <v>0</v>
      </c>
      <c r="C329">
        <v>0</v>
      </c>
      <c r="D329">
        <v>1</v>
      </c>
      <c r="E329">
        <v>1</v>
      </c>
      <c r="F329">
        <v>1</v>
      </c>
      <c r="G329">
        <v>1</v>
      </c>
      <c r="H329">
        <v>0</v>
      </c>
      <c r="P329">
        <f t="shared" si="28"/>
        <v>0.53746995417573973</v>
      </c>
      <c r="Q329">
        <f t="shared" si="27"/>
        <v>1.7116707737529904</v>
      </c>
    </row>
    <row r="330" spans="1:17" x14ac:dyDescent="0.25">
      <c r="A330">
        <v>1002</v>
      </c>
      <c r="B330">
        <v>1</v>
      </c>
      <c r="C330">
        <v>0</v>
      </c>
      <c r="D330">
        <v>1</v>
      </c>
      <c r="E330">
        <v>1</v>
      </c>
      <c r="F330">
        <v>-1</v>
      </c>
      <c r="G330">
        <v>0</v>
      </c>
      <c r="H330">
        <v>1</v>
      </c>
      <c r="P330">
        <f t="shared" si="28"/>
        <v>-1.7587904298642194</v>
      </c>
      <c r="Q330">
        <f t="shared" si="27"/>
        <v>0.17225309005907632</v>
      </c>
    </row>
    <row r="331" spans="1:17" x14ac:dyDescent="0.25">
      <c r="A331">
        <v>1002</v>
      </c>
      <c r="B331">
        <v>0</v>
      </c>
      <c r="C331">
        <v>1</v>
      </c>
      <c r="D331">
        <v>0</v>
      </c>
      <c r="E331">
        <v>-1</v>
      </c>
      <c r="F331">
        <v>-1</v>
      </c>
      <c r="G331">
        <v>1</v>
      </c>
      <c r="H331">
        <v>0</v>
      </c>
      <c r="P331">
        <f t="shared" si="28"/>
        <v>1.9760623485944482</v>
      </c>
      <c r="Q331">
        <f t="shared" si="27"/>
        <v>7.2142796641606211</v>
      </c>
    </row>
    <row r="332" spans="1:17" x14ac:dyDescent="0.25">
      <c r="A332">
        <v>1002</v>
      </c>
      <c r="B332">
        <v>0</v>
      </c>
      <c r="C332">
        <v>1</v>
      </c>
      <c r="D332">
        <v>0</v>
      </c>
      <c r="E332">
        <v>1</v>
      </c>
      <c r="F332">
        <v>1</v>
      </c>
      <c r="G332">
        <v>1</v>
      </c>
      <c r="H332">
        <v>0</v>
      </c>
      <c r="P332">
        <f t="shared" si="28"/>
        <v>2.4639674904819313</v>
      </c>
      <c r="Q332">
        <f t="shared" si="27"/>
        <v>11.751342512917736</v>
      </c>
    </row>
    <row r="333" spans="1:17" x14ac:dyDescent="0.25">
      <c r="A333">
        <v>1003</v>
      </c>
      <c r="B333">
        <v>0</v>
      </c>
      <c r="C333">
        <v>1</v>
      </c>
      <c r="D333">
        <v>0</v>
      </c>
      <c r="E333">
        <v>-1</v>
      </c>
      <c r="F333">
        <v>-1</v>
      </c>
      <c r="G333">
        <v>1</v>
      </c>
      <c r="H333">
        <v>0</v>
      </c>
      <c r="P333">
        <f t="shared" si="28"/>
        <v>1.9760623485944482</v>
      </c>
      <c r="Q333">
        <f t="shared" si="27"/>
        <v>7.2142796641606211</v>
      </c>
    </row>
    <row r="334" spans="1:17" x14ac:dyDescent="0.25">
      <c r="A334">
        <v>1003</v>
      </c>
      <c r="B334">
        <v>1</v>
      </c>
      <c r="C334">
        <v>-1</v>
      </c>
      <c r="D334">
        <v>-1</v>
      </c>
      <c r="E334">
        <v>1</v>
      </c>
      <c r="F334">
        <v>-1</v>
      </c>
      <c r="G334">
        <v>0</v>
      </c>
      <c r="H334">
        <v>1</v>
      </c>
      <c r="P334">
        <f t="shared" si="28"/>
        <v>0.21307820585445134</v>
      </c>
      <c r="Q334">
        <f t="shared" si="27"/>
        <v>1.2374814257516533</v>
      </c>
    </row>
    <row r="335" spans="1:17" x14ac:dyDescent="0.25">
      <c r="A335">
        <v>1003</v>
      </c>
      <c r="B335">
        <v>0</v>
      </c>
      <c r="C335">
        <v>1</v>
      </c>
      <c r="D335">
        <v>0</v>
      </c>
      <c r="E335">
        <v>1</v>
      </c>
      <c r="F335">
        <v>-1</v>
      </c>
      <c r="G335">
        <v>-1</v>
      </c>
      <c r="H335">
        <v>-1</v>
      </c>
      <c r="P335">
        <f t="shared" si="28"/>
        <v>-0.96743768394048846</v>
      </c>
      <c r="Q335">
        <f t="shared" si="27"/>
        <v>0.38005561415131528</v>
      </c>
    </row>
    <row r="336" spans="1:17" x14ac:dyDescent="0.25">
      <c r="A336">
        <v>1004</v>
      </c>
      <c r="B336">
        <v>0</v>
      </c>
      <c r="C336">
        <v>1</v>
      </c>
      <c r="D336">
        <v>0</v>
      </c>
      <c r="E336">
        <v>1</v>
      </c>
      <c r="F336">
        <v>-1</v>
      </c>
      <c r="G336">
        <v>-1</v>
      </c>
      <c r="H336">
        <v>-1</v>
      </c>
      <c r="P336">
        <f t="shared" si="28"/>
        <v>-0.96743768394048846</v>
      </c>
      <c r="Q336">
        <f t="shared" si="27"/>
        <v>0.38005561415131528</v>
      </c>
    </row>
    <row r="337" spans="1:17" x14ac:dyDescent="0.25">
      <c r="A337">
        <v>1004</v>
      </c>
      <c r="B337">
        <v>1</v>
      </c>
      <c r="C337">
        <v>-1</v>
      </c>
      <c r="D337">
        <v>-1</v>
      </c>
      <c r="E337">
        <v>1</v>
      </c>
      <c r="F337">
        <v>1</v>
      </c>
      <c r="G337">
        <v>-1</v>
      </c>
      <c r="H337">
        <v>-1</v>
      </c>
      <c r="P337">
        <f t="shared" si="28"/>
        <v>-0.44769296615724818</v>
      </c>
      <c r="Q337">
        <f t="shared" si="27"/>
        <v>0.63910087950999117</v>
      </c>
    </row>
    <row r="338" spans="1:17" x14ac:dyDescent="0.25">
      <c r="A338">
        <v>1004</v>
      </c>
      <c r="B338">
        <v>0</v>
      </c>
      <c r="C338">
        <v>1</v>
      </c>
      <c r="D338">
        <v>0</v>
      </c>
      <c r="E338">
        <v>-1</v>
      </c>
      <c r="F338">
        <v>-1</v>
      </c>
      <c r="G338">
        <v>1</v>
      </c>
      <c r="H338">
        <v>0</v>
      </c>
      <c r="P338">
        <f t="shared" si="28"/>
        <v>1.9760623485944482</v>
      </c>
      <c r="Q338">
        <f t="shared" si="27"/>
        <v>7.2142796641606211</v>
      </c>
    </row>
    <row r="339" spans="1:17" x14ac:dyDescent="0.25">
      <c r="A339">
        <v>1005</v>
      </c>
      <c r="B339">
        <v>0</v>
      </c>
      <c r="C339">
        <v>-1</v>
      </c>
      <c r="D339">
        <v>-1</v>
      </c>
      <c r="E339">
        <v>-1</v>
      </c>
      <c r="F339">
        <v>-1</v>
      </c>
      <c r="G339">
        <v>1</v>
      </c>
      <c r="H339">
        <v>0</v>
      </c>
      <c r="P339">
        <f t="shared" si="28"/>
        <v>2.0214334480069271</v>
      </c>
      <c r="Q339">
        <f t="shared" si="27"/>
        <v>7.5491384789895326</v>
      </c>
    </row>
    <row r="340" spans="1:17" x14ac:dyDescent="0.25">
      <c r="A340">
        <v>1005</v>
      </c>
      <c r="B340">
        <v>0</v>
      </c>
      <c r="C340">
        <v>0</v>
      </c>
      <c r="D340">
        <v>1</v>
      </c>
      <c r="E340">
        <v>1</v>
      </c>
      <c r="F340">
        <v>1</v>
      </c>
      <c r="G340">
        <v>1</v>
      </c>
      <c r="H340">
        <v>0</v>
      </c>
      <c r="P340">
        <f t="shared" si="28"/>
        <v>0.53746995417573973</v>
      </c>
      <c r="Q340">
        <f t="shared" si="27"/>
        <v>1.7116707737529904</v>
      </c>
    </row>
    <row r="341" spans="1:17" x14ac:dyDescent="0.25">
      <c r="A341">
        <v>1005</v>
      </c>
      <c r="B341">
        <v>1</v>
      </c>
      <c r="C341">
        <v>1</v>
      </c>
      <c r="D341">
        <v>0</v>
      </c>
      <c r="E341">
        <v>-1</v>
      </c>
      <c r="F341">
        <v>1</v>
      </c>
      <c r="G341">
        <v>0</v>
      </c>
      <c r="H341">
        <v>1</v>
      </c>
      <c r="P341">
        <f t="shared" si="28"/>
        <v>0.62854920129601144</v>
      </c>
      <c r="Q341">
        <f t="shared" si="27"/>
        <v>1.8748885193273188</v>
      </c>
    </row>
    <row r="342" spans="1:17" x14ac:dyDescent="0.25">
      <c r="A342">
        <v>1006</v>
      </c>
      <c r="B342">
        <v>1</v>
      </c>
      <c r="C342">
        <v>1</v>
      </c>
      <c r="D342">
        <v>0</v>
      </c>
      <c r="E342">
        <v>-1</v>
      </c>
      <c r="F342">
        <v>1</v>
      </c>
      <c r="G342">
        <v>0</v>
      </c>
      <c r="H342">
        <v>1</v>
      </c>
      <c r="P342">
        <f t="shared" si="28"/>
        <v>0.62854920129601144</v>
      </c>
      <c r="Q342">
        <f t="shared" si="27"/>
        <v>1.8748885193273188</v>
      </c>
    </row>
    <row r="343" spans="1:17" x14ac:dyDescent="0.25">
      <c r="A343">
        <v>1006</v>
      </c>
      <c r="B343">
        <v>0</v>
      </c>
      <c r="C343">
        <v>0</v>
      </c>
      <c r="D343">
        <v>1</v>
      </c>
      <c r="E343">
        <v>1</v>
      </c>
      <c r="F343">
        <v>-1</v>
      </c>
      <c r="G343">
        <v>0</v>
      </c>
      <c r="H343">
        <v>1</v>
      </c>
      <c r="P343">
        <f t="shared" si="28"/>
        <v>-1.7587904298642194</v>
      </c>
      <c r="Q343">
        <f t="shared" si="27"/>
        <v>0.17225309005907632</v>
      </c>
    </row>
    <row r="344" spans="1:17" x14ac:dyDescent="0.25">
      <c r="A344">
        <v>1006</v>
      </c>
      <c r="B344">
        <v>0</v>
      </c>
      <c r="C344">
        <v>0</v>
      </c>
      <c r="D344">
        <v>1</v>
      </c>
      <c r="E344">
        <v>-1</v>
      </c>
      <c r="F344">
        <v>1</v>
      </c>
      <c r="G344">
        <v>-1</v>
      </c>
      <c r="H344">
        <v>-1</v>
      </c>
      <c r="P344">
        <f t="shared" si="28"/>
        <v>-2.4330931253926411</v>
      </c>
      <c r="Q344">
        <f t="shared" si="27"/>
        <v>8.7764944329027011E-2</v>
      </c>
    </row>
    <row r="345" spans="1:17" x14ac:dyDescent="0.25">
      <c r="A345">
        <v>1007</v>
      </c>
      <c r="B345">
        <v>0</v>
      </c>
      <c r="C345">
        <v>-1</v>
      </c>
      <c r="D345">
        <v>-1</v>
      </c>
      <c r="E345">
        <v>-1</v>
      </c>
      <c r="F345">
        <v>1</v>
      </c>
      <c r="G345">
        <v>0</v>
      </c>
      <c r="H345">
        <v>1</v>
      </c>
      <c r="P345">
        <f t="shared" si="28"/>
        <v>0.67392030070849041</v>
      </c>
      <c r="Q345">
        <f t="shared" si="27"/>
        <v>1.9619135553315648</v>
      </c>
    </row>
    <row r="346" spans="1:17" x14ac:dyDescent="0.25">
      <c r="A346">
        <v>1007</v>
      </c>
      <c r="B346">
        <v>0</v>
      </c>
      <c r="C346">
        <v>0</v>
      </c>
      <c r="D346">
        <v>1</v>
      </c>
      <c r="E346">
        <v>-1</v>
      </c>
      <c r="F346">
        <v>-1</v>
      </c>
      <c r="G346">
        <v>-1</v>
      </c>
      <c r="H346">
        <v>-1</v>
      </c>
      <c r="P346">
        <f t="shared" si="28"/>
        <v>-2.9074667437634028</v>
      </c>
      <c r="Q346">
        <f t="shared" si="27"/>
        <v>5.4613905795243362E-2</v>
      </c>
    </row>
    <row r="347" spans="1:17" x14ac:dyDescent="0.25">
      <c r="A347">
        <v>1007</v>
      </c>
      <c r="B347">
        <v>1</v>
      </c>
      <c r="C347">
        <v>-1</v>
      </c>
      <c r="D347">
        <v>-1</v>
      </c>
      <c r="E347">
        <v>1</v>
      </c>
      <c r="F347">
        <v>1</v>
      </c>
      <c r="G347">
        <v>-1</v>
      </c>
      <c r="H347">
        <v>-1</v>
      </c>
      <c r="P347">
        <f t="shared" si="28"/>
        <v>-0.44769296615724818</v>
      </c>
      <c r="Q347">
        <f t="shared" si="27"/>
        <v>0.63910087950999117</v>
      </c>
    </row>
    <row r="348" spans="1:17" x14ac:dyDescent="0.25">
      <c r="A348">
        <v>1008</v>
      </c>
      <c r="B348">
        <v>0</v>
      </c>
      <c r="C348">
        <v>1</v>
      </c>
      <c r="D348">
        <v>0</v>
      </c>
      <c r="E348">
        <v>1</v>
      </c>
      <c r="F348">
        <v>1</v>
      </c>
      <c r="G348">
        <v>1</v>
      </c>
      <c r="H348">
        <v>0</v>
      </c>
      <c r="P348">
        <f t="shared" si="28"/>
        <v>2.4639674904819313</v>
      </c>
      <c r="Q348">
        <f t="shared" si="27"/>
        <v>11.751342512917736</v>
      </c>
    </row>
    <row r="349" spans="1:17" x14ac:dyDescent="0.25">
      <c r="A349">
        <v>1008</v>
      </c>
      <c r="B349">
        <v>1</v>
      </c>
      <c r="C349">
        <v>1</v>
      </c>
      <c r="D349">
        <v>0</v>
      </c>
      <c r="E349">
        <v>-1</v>
      </c>
      <c r="F349">
        <v>1</v>
      </c>
      <c r="G349">
        <v>0</v>
      </c>
      <c r="H349">
        <v>1</v>
      </c>
      <c r="P349">
        <f t="shared" si="28"/>
        <v>0.62854920129601144</v>
      </c>
      <c r="Q349">
        <f t="shared" si="27"/>
        <v>1.8748885193273188</v>
      </c>
    </row>
    <row r="350" spans="1:17" x14ac:dyDescent="0.25">
      <c r="A350">
        <v>1008</v>
      </c>
      <c r="B350">
        <v>0</v>
      </c>
      <c r="C350">
        <v>-1</v>
      </c>
      <c r="D350">
        <v>-1</v>
      </c>
      <c r="E350">
        <v>-1</v>
      </c>
      <c r="F350">
        <v>-1</v>
      </c>
      <c r="G350">
        <v>1</v>
      </c>
      <c r="H350">
        <v>0</v>
      </c>
      <c r="P350">
        <f t="shared" si="28"/>
        <v>2.0214334480069271</v>
      </c>
      <c r="Q350">
        <f t="shared" si="27"/>
        <v>7.5491384789895326</v>
      </c>
    </row>
    <row r="351" spans="1:17" x14ac:dyDescent="0.25">
      <c r="A351">
        <v>1009</v>
      </c>
      <c r="B351">
        <v>0</v>
      </c>
      <c r="C351">
        <v>0</v>
      </c>
      <c r="D351">
        <v>1</v>
      </c>
      <c r="E351">
        <v>-1</v>
      </c>
      <c r="F351">
        <v>-1</v>
      </c>
      <c r="G351">
        <v>-1</v>
      </c>
      <c r="H351">
        <v>-1</v>
      </c>
      <c r="P351">
        <f t="shared" si="28"/>
        <v>-2.9074667437634028</v>
      </c>
      <c r="Q351">
        <f t="shared" si="27"/>
        <v>5.4613905795243362E-2</v>
      </c>
    </row>
    <row r="352" spans="1:17" x14ac:dyDescent="0.25">
      <c r="A352">
        <v>1009</v>
      </c>
      <c r="B352">
        <v>1</v>
      </c>
      <c r="C352">
        <v>0</v>
      </c>
      <c r="D352">
        <v>1</v>
      </c>
      <c r="E352">
        <v>-1</v>
      </c>
      <c r="F352">
        <v>1</v>
      </c>
      <c r="G352">
        <v>-1</v>
      </c>
      <c r="H352">
        <v>-1</v>
      </c>
      <c r="P352">
        <f t="shared" si="28"/>
        <v>-2.4330931253926411</v>
      </c>
      <c r="Q352">
        <f t="shared" si="27"/>
        <v>8.7764944329027011E-2</v>
      </c>
    </row>
    <row r="353" spans="1:17" x14ac:dyDescent="0.25">
      <c r="A353">
        <v>1009</v>
      </c>
      <c r="B353">
        <v>0</v>
      </c>
      <c r="C353">
        <v>0</v>
      </c>
      <c r="D353">
        <v>1</v>
      </c>
      <c r="E353">
        <v>1</v>
      </c>
      <c r="F353">
        <v>-1</v>
      </c>
      <c r="G353">
        <v>0</v>
      </c>
      <c r="H353">
        <v>1</v>
      </c>
      <c r="P353">
        <f t="shared" si="28"/>
        <v>-1.7587904298642194</v>
      </c>
      <c r="Q353">
        <f t="shared" si="27"/>
        <v>0.17225309005907632</v>
      </c>
    </row>
    <row r="354" spans="1:17" x14ac:dyDescent="0.25">
      <c r="A354">
        <v>1010</v>
      </c>
      <c r="B354">
        <v>0</v>
      </c>
      <c r="C354">
        <v>0</v>
      </c>
      <c r="D354">
        <v>1</v>
      </c>
      <c r="E354">
        <v>1</v>
      </c>
      <c r="F354">
        <v>1</v>
      </c>
      <c r="G354">
        <v>1</v>
      </c>
      <c r="H354">
        <v>0</v>
      </c>
      <c r="P354">
        <f t="shared" si="28"/>
        <v>0.53746995417573973</v>
      </c>
      <c r="Q354">
        <f t="shared" si="27"/>
        <v>1.7116707737529904</v>
      </c>
    </row>
    <row r="355" spans="1:17" x14ac:dyDescent="0.25">
      <c r="A355">
        <v>1010</v>
      </c>
      <c r="B355">
        <v>1</v>
      </c>
      <c r="C355">
        <v>-1</v>
      </c>
      <c r="D355">
        <v>-1</v>
      </c>
      <c r="E355">
        <v>-1</v>
      </c>
      <c r="F355">
        <v>-1</v>
      </c>
      <c r="G355">
        <v>1</v>
      </c>
      <c r="H355">
        <v>0</v>
      </c>
      <c r="P355">
        <f t="shared" si="28"/>
        <v>2.0214334480069271</v>
      </c>
      <c r="Q355">
        <f t="shared" si="27"/>
        <v>7.5491384789895326</v>
      </c>
    </row>
    <row r="356" spans="1:17" x14ac:dyDescent="0.25">
      <c r="A356">
        <v>1010</v>
      </c>
      <c r="B356">
        <v>0</v>
      </c>
      <c r="C356">
        <v>-1</v>
      </c>
      <c r="D356">
        <v>-1</v>
      </c>
      <c r="E356">
        <v>-1</v>
      </c>
      <c r="F356">
        <v>1</v>
      </c>
      <c r="G356">
        <v>0</v>
      </c>
      <c r="H356">
        <v>1</v>
      </c>
      <c r="P356">
        <f t="shared" si="28"/>
        <v>0.67392030070849041</v>
      </c>
      <c r="Q356">
        <f t="shared" si="27"/>
        <v>1.9619135553315648</v>
      </c>
    </row>
    <row r="357" spans="1:17" x14ac:dyDescent="0.25">
      <c r="A357">
        <v>1011</v>
      </c>
      <c r="B357">
        <v>1</v>
      </c>
      <c r="C357">
        <v>-1</v>
      </c>
      <c r="D357">
        <v>-1</v>
      </c>
      <c r="E357">
        <v>1</v>
      </c>
      <c r="F357">
        <v>-1</v>
      </c>
      <c r="G357">
        <v>0</v>
      </c>
      <c r="H357">
        <v>1</v>
      </c>
      <c r="P357">
        <f t="shared" si="28"/>
        <v>0.21307820585445134</v>
      </c>
      <c r="Q357">
        <f t="shared" si="27"/>
        <v>1.2374814257516533</v>
      </c>
    </row>
    <row r="358" spans="1:17" x14ac:dyDescent="0.25">
      <c r="A358">
        <v>1011</v>
      </c>
      <c r="B358">
        <v>0</v>
      </c>
      <c r="C358">
        <v>-1</v>
      </c>
      <c r="D358">
        <v>-1</v>
      </c>
      <c r="E358">
        <v>-1</v>
      </c>
      <c r="F358">
        <v>1</v>
      </c>
      <c r="G358">
        <v>0</v>
      </c>
      <c r="H358">
        <v>1</v>
      </c>
      <c r="P358">
        <f t="shared" si="28"/>
        <v>0.67392030070849041</v>
      </c>
      <c r="Q358">
        <f t="shared" si="27"/>
        <v>1.9619135553315648</v>
      </c>
    </row>
    <row r="359" spans="1:17" x14ac:dyDescent="0.25">
      <c r="A359">
        <v>1011</v>
      </c>
      <c r="B359">
        <v>0</v>
      </c>
      <c r="C359">
        <v>0</v>
      </c>
      <c r="D359">
        <v>1</v>
      </c>
      <c r="E359">
        <v>-1</v>
      </c>
      <c r="F359">
        <v>-1</v>
      </c>
      <c r="G359">
        <v>-1</v>
      </c>
      <c r="H359">
        <v>-1</v>
      </c>
      <c r="P359">
        <f t="shared" si="28"/>
        <v>-2.9074667437634028</v>
      </c>
      <c r="Q359">
        <f t="shared" si="27"/>
        <v>5.4613905795243362E-2</v>
      </c>
    </row>
    <row r="360" spans="1:17" x14ac:dyDescent="0.25">
      <c r="A360">
        <v>1012</v>
      </c>
      <c r="B360">
        <v>1</v>
      </c>
      <c r="C360">
        <v>-1</v>
      </c>
      <c r="D360">
        <v>-1</v>
      </c>
      <c r="E360">
        <v>1</v>
      </c>
      <c r="F360">
        <v>1</v>
      </c>
      <c r="G360">
        <v>-1</v>
      </c>
      <c r="H360">
        <v>-1</v>
      </c>
      <c r="P360">
        <f t="shared" si="28"/>
        <v>-0.44769296615724818</v>
      </c>
      <c r="Q360">
        <f t="shared" si="27"/>
        <v>0.63910087950999117</v>
      </c>
    </row>
    <row r="361" spans="1:17" x14ac:dyDescent="0.25">
      <c r="A361">
        <v>1012</v>
      </c>
      <c r="B361">
        <v>0</v>
      </c>
      <c r="C361">
        <v>1</v>
      </c>
      <c r="D361">
        <v>0</v>
      </c>
      <c r="E361">
        <v>1</v>
      </c>
      <c r="F361">
        <v>1</v>
      </c>
      <c r="G361">
        <v>1</v>
      </c>
      <c r="H361">
        <v>0</v>
      </c>
      <c r="P361">
        <f t="shared" si="28"/>
        <v>2.4639674904819313</v>
      </c>
      <c r="Q361">
        <f t="shared" si="27"/>
        <v>11.751342512917736</v>
      </c>
    </row>
    <row r="362" spans="1:17" x14ac:dyDescent="0.25">
      <c r="A362">
        <v>1012</v>
      </c>
      <c r="B362">
        <v>0</v>
      </c>
      <c r="C362">
        <v>-1</v>
      </c>
      <c r="D362">
        <v>-1</v>
      </c>
      <c r="E362">
        <v>1</v>
      </c>
      <c r="F362">
        <v>-1</v>
      </c>
      <c r="G362">
        <v>0</v>
      </c>
      <c r="H362">
        <v>1</v>
      </c>
      <c r="P362">
        <f>SUMPRODUCT(C362:H362,$J$3:$O$3)</f>
        <v>0.21307820585445134</v>
      </c>
      <c r="Q362">
        <f t="shared" si="27"/>
        <v>1.2374814257516533</v>
      </c>
    </row>
  </sheetData>
  <mergeCells count="9">
    <mergeCell ref="AI23:AI25"/>
    <mergeCell ref="U2:W2"/>
    <mergeCell ref="X2:Z2"/>
    <mergeCell ref="AA2:AC2"/>
    <mergeCell ref="C1:D1"/>
    <mergeCell ref="G1:H1"/>
    <mergeCell ref="AI16:AI18"/>
    <mergeCell ref="AI19:AI20"/>
    <mergeCell ref="AI21:AI22"/>
  </mergeCells>
  <pageMargins left="0.511811024" right="0.511811024" top="0.78740157499999996" bottom="0.78740157499999996" header="0.31496062000000002" footer="0.31496062000000002"/>
  <ignoredErrors>
    <ignoredError sqref="P4:P362" formulaRange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B93"/>
  <sheetViews>
    <sheetView workbookViewId="0">
      <selection activeCell="E1" sqref="E1:E1048576"/>
    </sheetView>
  </sheetViews>
  <sheetFormatPr defaultRowHeight="15" x14ac:dyDescent="0.25"/>
  <cols>
    <col min="5" max="5" width="23.5703125" bestFit="1" customWidth="1"/>
    <col min="12" max="12" width="12.7109375" bestFit="1" customWidth="1"/>
  </cols>
  <sheetData>
    <row r="1" spans="1:28" x14ac:dyDescent="0.25">
      <c r="A1" t="s">
        <v>46</v>
      </c>
      <c r="B1" t="s">
        <v>11</v>
      </c>
      <c r="C1" t="s">
        <v>52</v>
      </c>
      <c r="D1" t="s">
        <v>54</v>
      </c>
      <c r="E1" t="s">
        <v>53</v>
      </c>
      <c r="G1" s="1" t="s">
        <v>14</v>
      </c>
      <c r="H1" s="1" t="s">
        <v>15</v>
      </c>
      <c r="I1" s="1" t="s">
        <v>16</v>
      </c>
      <c r="J1" s="1"/>
      <c r="K1" t="s">
        <v>17</v>
      </c>
      <c r="L1" t="s">
        <v>19</v>
      </c>
      <c r="M1" t="s">
        <v>43</v>
      </c>
      <c r="O1" t="s">
        <v>21</v>
      </c>
      <c r="P1" s="28" t="s">
        <v>55</v>
      </c>
      <c r="Q1" s="28"/>
      <c r="T1" s="24" t="s">
        <v>44</v>
      </c>
      <c r="U1" s="25"/>
      <c r="V1" s="25"/>
      <c r="W1" s="25"/>
      <c r="X1" s="25"/>
      <c r="Z1" s="1" t="s">
        <v>45</v>
      </c>
      <c r="AA1" s="1" t="s">
        <v>46</v>
      </c>
      <c r="AB1" s="1" t="s">
        <v>51</v>
      </c>
    </row>
    <row r="2" spans="1:28" x14ac:dyDescent="0.25">
      <c r="A2">
        <f>IF(AA2="Sim",1,-1)</f>
        <v>-1</v>
      </c>
      <c r="B2">
        <f>AB2</f>
        <v>140</v>
      </c>
      <c r="C2">
        <f>IF(Z2="Baixo",0,1)</f>
        <v>0</v>
      </c>
      <c r="D2">
        <f>_xlfn.NORM.S.DIST(-$G$2-$H$2*A2-$I$2*B2,1)</f>
        <v>0.18121090277569193</v>
      </c>
      <c r="E2">
        <f>IF(D2&gt;=0.5,1,0)</f>
        <v>0</v>
      </c>
      <c r="G2">
        <v>-1.5504647766207411</v>
      </c>
      <c r="H2">
        <v>-0.35172304504400248</v>
      </c>
      <c r="I2">
        <v>1.5067870012925139E-2</v>
      </c>
      <c r="K2">
        <f>IF(C2=1,_xlfn.NORM.S.DIST(-$G$2-$H$2*A2-$I$2*B2,1),1-_xlfn.NORM.S.DIST(-$G$2-$H$2*A2-$I$2*B2,1))</f>
        <v>0.81878909722430804</v>
      </c>
      <c r="L2">
        <f>LN(K2)</f>
        <v>-0.19992874083774911</v>
      </c>
      <c r="M2">
        <f>SUM(L2:L93)</f>
        <v>-46.734005676696711</v>
      </c>
      <c r="O2">
        <f>IF(ABS(C2-E2)=0,1,0)</f>
        <v>1</v>
      </c>
      <c r="P2">
        <v>0</v>
      </c>
      <c r="Q2">
        <v>1</v>
      </c>
      <c r="T2" s="25"/>
      <c r="U2" s="25"/>
      <c r="V2" s="25"/>
      <c r="W2" s="25"/>
      <c r="X2" s="25"/>
      <c r="Z2" t="s">
        <v>47</v>
      </c>
      <c r="AA2" t="s">
        <v>48</v>
      </c>
      <c r="AB2">
        <v>140</v>
      </c>
    </row>
    <row r="3" spans="1:28" x14ac:dyDescent="0.25">
      <c r="A3">
        <f t="shared" ref="A3:A66" si="0">IF(AA3="Sim",1,-1)</f>
        <v>-1</v>
      </c>
      <c r="B3">
        <f t="shared" ref="B3:B66" si="1">AB3</f>
        <v>145</v>
      </c>
      <c r="C3">
        <f t="shared" ref="C3:C66" si="2">IF(Z3="Baixo",0,1)</f>
        <v>0</v>
      </c>
      <c r="D3">
        <f t="shared" ref="D3:D66" si="3">_xlfn.NORM.S.DIST(-$G$2-$H$2*A3-$I$2*B3,1)</f>
        <v>0.16204216405004346</v>
      </c>
      <c r="E3">
        <f t="shared" ref="E3:E66" si="4">IF(D3&gt;=0.5,1,0)</f>
        <v>0</v>
      </c>
      <c r="K3">
        <f t="shared" ref="K3:K66" si="5">IF(C3=1,_xlfn.NORM.S.DIST(-$G$2-$H$2*A3-$I$2*B3,1),1-_xlfn.NORM.S.DIST(-$G$2-$H$2*A3-$I$2*B3,1))</f>
        <v>0.83795783594995654</v>
      </c>
      <c r="L3">
        <f t="shared" ref="L3:L66" si="6">LN(K3)</f>
        <v>-0.17678749486141815</v>
      </c>
      <c r="O3">
        <f t="shared" ref="O3:O66" si="7">IF(ABS(C3-E3)=0,1,0)</f>
        <v>1</v>
      </c>
      <c r="P3" s="9">
        <f>AVERAGEIFS($O$2:$O$93,$C$2:$C$93,P2)</f>
        <v>0.97142857142857142</v>
      </c>
      <c r="Q3" s="9">
        <f>AVERAGEIFS($O$2:$O$93,$C$2:$C$93,Q2)</f>
        <v>9.0909090909090912E-2</v>
      </c>
      <c r="T3" s="25"/>
      <c r="U3" s="25"/>
      <c r="V3" s="25"/>
      <c r="W3" s="25"/>
      <c r="X3" s="25"/>
      <c r="Z3" t="s">
        <v>47</v>
      </c>
      <c r="AA3" t="s">
        <v>48</v>
      </c>
      <c r="AB3">
        <v>145</v>
      </c>
    </row>
    <row r="4" spans="1:28" x14ac:dyDescent="0.25">
      <c r="A4">
        <f t="shared" si="0"/>
        <v>1</v>
      </c>
      <c r="B4">
        <f t="shared" si="1"/>
        <v>160</v>
      </c>
      <c r="C4">
        <f t="shared" si="2"/>
        <v>0</v>
      </c>
      <c r="D4">
        <f t="shared" si="3"/>
        <v>0.30549129312877699</v>
      </c>
      <c r="E4">
        <f t="shared" si="4"/>
        <v>0</v>
      </c>
      <c r="K4">
        <f t="shared" si="5"/>
        <v>0.69450870687122301</v>
      </c>
      <c r="L4">
        <f t="shared" si="6"/>
        <v>-0.36455057997471496</v>
      </c>
      <c r="O4">
        <f t="shared" si="7"/>
        <v>1</v>
      </c>
      <c r="P4" s="28" t="s">
        <v>29</v>
      </c>
      <c r="Q4" s="28"/>
      <c r="T4" s="25"/>
      <c r="U4" s="25"/>
      <c r="V4" s="25"/>
      <c r="W4" s="25"/>
      <c r="X4" s="25"/>
      <c r="Z4" t="s">
        <v>47</v>
      </c>
      <c r="AA4" t="s">
        <v>49</v>
      </c>
      <c r="AB4">
        <v>160</v>
      </c>
    </row>
    <row r="5" spans="1:28" x14ac:dyDescent="0.25">
      <c r="A5">
        <f t="shared" si="0"/>
        <v>1</v>
      </c>
      <c r="B5">
        <f t="shared" si="1"/>
        <v>190</v>
      </c>
      <c r="C5">
        <f t="shared" si="2"/>
        <v>0</v>
      </c>
      <c r="D5">
        <f t="shared" si="3"/>
        <v>0.16834963438904577</v>
      </c>
      <c r="E5">
        <f t="shared" si="4"/>
        <v>0</v>
      </c>
      <c r="K5">
        <f t="shared" si="5"/>
        <v>0.83165036561095418</v>
      </c>
      <c r="L5">
        <f t="shared" si="6"/>
        <v>-0.18434316012450994</v>
      </c>
      <c r="O5">
        <f t="shared" si="7"/>
        <v>1</v>
      </c>
      <c r="P5">
        <f>COUNTIF($C$2:$C$93,P2)</f>
        <v>70</v>
      </c>
      <c r="Q5">
        <f>COUNTIF($C$2:$C$93,Q2)</f>
        <v>22</v>
      </c>
      <c r="T5" s="25"/>
      <c r="U5" s="25"/>
      <c r="V5" s="25"/>
      <c r="W5" s="25"/>
      <c r="X5" s="25"/>
      <c r="Z5" t="s">
        <v>47</v>
      </c>
      <c r="AA5" t="s">
        <v>49</v>
      </c>
      <c r="AB5">
        <v>190</v>
      </c>
    </row>
    <row r="6" spans="1:28" x14ac:dyDescent="0.25">
      <c r="A6">
        <f t="shared" si="0"/>
        <v>-1</v>
      </c>
      <c r="B6">
        <f t="shared" si="1"/>
        <v>155</v>
      </c>
      <c r="C6">
        <f t="shared" si="2"/>
        <v>0</v>
      </c>
      <c r="D6">
        <f t="shared" si="3"/>
        <v>0.12781552605676627</v>
      </c>
      <c r="E6">
        <f t="shared" si="4"/>
        <v>0</v>
      </c>
      <c r="K6">
        <f t="shared" si="5"/>
        <v>0.87218447394323373</v>
      </c>
      <c r="L6">
        <f t="shared" si="6"/>
        <v>-0.13675432476007704</v>
      </c>
      <c r="O6">
        <f t="shared" si="7"/>
        <v>1</v>
      </c>
      <c r="T6" s="25"/>
      <c r="U6" s="25"/>
      <c r="V6" s="25"/>
      <c r="W6" s="25"/>
      <c r="X6" s="25"/>
      <c r="Z6" t="s">
        <v>47</v>
      </c>
      <c r="AA6" t="s">
        <v>48</v>
      </c>
      <c r="AB6">
        <v>155</v>
      </c>
    </row>
    <row r="7" spans="1:28" x14ac:dyDescent="0.25">
      <c r="A7">
        <f t="shared" si="0"/>
        <v>-1</v>
      </c>
      <c r="B7">
        <f t="shared" si="1"/>
        <v>165</v>
      </c>
      <c r="C7">
        <f t="shared" si="2"/>
        <v>0</v>
      </c>
      <c r="D7">
        <f t="shared" si="3"/>
        <v>9.896755524892685E-2</v>
      </c>
      <c r="E7">
        <f t="shared" si="4"/>
        <v>0</v>
      </c>
      <c r="K7">
        <f t="shared" si="5"/>
        <v>0.90103244475107314</v>
      </c>
      <c r="L7">
        <f t="shared" si="6"/>
        <v>-0.10421401230951048</v>
      </c>
      <c r="O7">
        <f t="shared" si="7"/>
        <v>1</v>
      </c>
      <c r="P7" s="1" t="s">
        <v>30</v>
      </c>
      <c r="T7" s="25"/>
      <c r="U7" s="25"/>
      <c r="V7" s="25"/>
      <c r="W7" s="25"/>
      <c r="X7" s="25"/>
      <c r="Z7" t="s">
        <v>47</v>
      </c>
      <c r="AA7" t="s">
        <v>48</v>
      </c>
      <c r="AB7">
        <v>165</v>
      </c>
    </row>
    <row r="8" spans="1:28" x14ac:dyDescent="0.25">
      <c r="A8">
        <f t="shared" si="0"/>
        <v>-1</v>
      </c>
      <c r="B8">
        <f t="shared" si="1"/>
        <v>150</v>
      </c>
      <c r="C8">
        <f t="shared" si="2"/>
        <v>1</v>
      </c>
      <c r="D8">
        <f t="shared" si="3"/>
        <v>0.14424527264861667</v>
      </c>
      <c r="E8">
        <f t="shared" si="4"/>
        <v>0</v>
      </c>
      <c r="K8">
        <f t="shared" si="5"/>
        <v>0.14424527264861667</v>
      </c>
      <c r="L8">
        <f t="shared" si="6"/>
        <v>-1.9362401460642731</v>
      </c>
      <c r="O8">
        <f t="shared" si="7"/>
        <v>0</v>
      </c>
      <c r="P8" t="s">
        <v>31</v>
      </c>
      <c r="Q8">
        <v>-46.734002758703546</v>
      </c>
      <c r="T8" s="25"/>
      <c r="U8" s="25"/>
      <c r="V8" s="25"/>
      <c r="W8" s="25"/>
      <c r="X8" s="25"/>
      <c r="Z8" t="s">
        <v>50</v>
      </c>
      <c r="AA8" t="s">
        <v>48</v>
      </c>
      <c r="AB8">
        <v>150</v>
      </c>
    </row>
    <row r="9" spans="1:28" x14ac:dyDescent="0.25">
      <c r="A9">
        <f t="shared" si="0"/>
        <v>-1</v>
      </c>
      <c r="B9">
        <f t="shared" si="1"/>
        <v>190</v>
      </c>
      <c r="C9">
        <f t="shared" si="2"/>
        <v>0</v>
      </c>
      <c r="D9">
        <f t="shared" si="3"/>
        <v>4.8040871871398716E-2</v>
      </c>
      <c r="E9">
        <f t="shared" si="4"/>
        <v>0</v>
      </c>
      <c r="K9">
        <f t="shared" si="5"/>
        <v>0.95195912812860128</v>
      </c>
      <c r="L9">
        <f t="shared" si="6"/>
        <v>-4.9233177750427681E-2</v>
      </c>
      <c r="O9">
        <f t="shared" si="7"/>
        <v>1</v>
      </c>
      <c r="P9" t="s">
        <v>34</v>
      </c>
      <c r="Q9">
        <v>-50.606948171173741</v>
      </c>
      <c r="Z9" t="s">
        <v>47</v>
      </c>
      <c r="AA9" t="s">
        <v>48</v>
      </c>
      <c r="AB9">
        <v>190</v>
      </c>
    </row>
    <row r="10" spans="1:28" x14ac:dyDescent="0.25">
      <c r="A10">
        <f t="shared" si="0"/>
        <v>-1</v>
      </c>
      <c r="B10">
        <f t="shared" si="1"/>
        <v>195</v>
      </c>
      <c r="C10">
        <f t="shared" si="2"/>
        <v>0</v>
      </c>
      <c r="D10">
        <f t="shared" si="3"/>
        <v>4.0974048171500931E-2</v>
      </c>
      <c r="E10">
        <f t="shared" si="4"/>
        <v>0</v>
      </c>
      <c r="K10">
        <f t="shared" si="5"/>
        <v>0.95902595182849903</v>
      </c>
      <c r="L10">
        <f t="shared" si="6"/>
        <v>-4.1837143121264318E-2</v>
      </c>
      <c r="O10">
        <f t="shared" si="7"/>
        <v>1</v>
      </c>
      <c r="P10" t="s">
        <v>32</v>
      </c>
      <c r="Q10">
        <f>2*(Q8-Q9)</f>
        <v>7.7458908249403891</v>
      </c>
      <c r="Z10" t="s">
        <v>47</v>
      </c>
      <c r="AA10" t="s">
        <v>48</v>
      </c>
      <c r="AB10">
        <v>195</v>
      </c>
    </row>
    <row r="11" spans="1:28" x14ac:dyDescent="0.25">
      <c r="A11">
        <f t="shared" si="0"/>
        <v>-1</v>
      </c>
      <c r="B11">
        <f t="shared" si="1"/>
        <v>138</v>
      </c>
      <c r="C11">
        <f t="shared" si="2"/>
        <v>0</v>
      </c>
      <c r="D11">
        <f t="shared" si="3"/>
        <v>0.1892605926746404</v>
      </c>
      <c r="E11">
        <f t="shared" si="4"/>
        <v>0</v>
      </c>
      <c r="K11">
        <f t="shared" si="5"/>
        <v>0.81073940732535954</v>
      </c>
      <c r="L11">
        <f t="shared" si="6"/>
        <v>-0.20980859915868033</v>
      </c>
      <c r="O11">
        <f t="shared" si="7"/>
        <v>1</v>
      </c>
      <c r="P11" t="s">
        <v>33</v>
      </c>
      <c r="Q11">
        <f>1-_xlfn.CHISQ.DIST(Q10,2,1)</f>
        <v>2.0797023312954188E-2</v>
      </c>
      <c r="Z11" t="s">
        <v>47</v>
      </c>
      <c r="AA11" t="s">
        <v>48</v>
      </c>
      <c r="AB11">
        <v>138</v>
      </c>
    </row>
    <row r="12" spans="1:28" ht="14.45" x14ac:dyDescent="0.3">
      <c r="A12">
        <f t="shared" si="0"/>
        <v>1</v>
      </c>
      <c r="B12">
        <f t="shared" si="1"/>
        <v>160</v>
      </c>
      <c r="C12">
        <f t="shared" si="2"/>
        <v>1</v>
      </c>
      <c r="D12">
        <f t="shared" si="3"/>
        <v>0.30549129312877699</v>
      </c>
      <c r="E12">
        <f t="shared" si="4"/>
        <v>0</v>
      </c>
      <c r="K12">
        <f t="shared" si="5"/>
        <v>0.30549129312877699</v>
      </c>
      <c r="L12">
        <f t="shared" si="6"/>
        <v>-1.1858340011734332</v>
      </c>
      <c r="O12">
        <f t="shared" si="7"/>
        <v>0</v>
      </c>
      <c r="Z12" t="s">
        <v>50</v>
      </c>
      <c r="AA12" t="s">
        <v>49</v>
      </c>
      <c r="AB12">
        <v>160</v>
      </c>
    </row>
    <row r="13" spans="1:28" x14ac:dyDescent="0.25">
      <c r="A13">
        <f t="shared" si="0"/>
        <v>-1</v>
      </c>
      <c r="B13">
        <f t="shared" si="1"/>
        <v>155</v>
      </c>
      <c r="C13">
        <f t="shared" si="2"/>
        <v>0</v>
      </c>
      <c r="D13">
        <f t="shared" si="3"/>
        <v>0.12781552605676627</v>
      </c>
      <c r="E13">
        <f t="shared" si="4"/>
        <v>0</v>
      </c>
      <c r="K13">
        <f t="shared" si="5"/>
        <v>0.87218447394323373</v>
      </c>
      <c r="L13">
        <f t="shared" si="6"/>
        <v>-0.13675432476007704</v>
      </c>
      <c r="O13">
        <f t="shared" si="7"/>
        <v>1</v>
      </c>
      <c r="P13" s="1" t="s">
        <v>36</v>
      </c>
      <c r="Z13" t="s">
        <v>47</v>
      </c>
      <c r="AA13" t="s">
        <v>48</v>
      </c>
      <c r="AB13">
        <v>155</v>
      </c>
    </row>
    <row r="14" spans="1:28" ht="14.45" x14ac:dyDescent="0.3">
      <c r="A14">
        <f t="shared" si="0"/>
        <v>1</v>
      </c>
      <c r="B14">
        <f t="shared" si="1"/>
        <v>153</v>
      </c>
      <c r="C14">
        <f t="shared" si="2"/>
        <v>1</v>
      </c>
      <c r="D14">
        <f t="shared" si="3"/>
        <v>0.34340191425905331</v>
      </c>
      <c r="E14">
        <f t="shared" si="4"/>
        <v>0</v>
      </c>
      <c r="K14">
        <f t="shared" si="5"/>
        <v>0.34340191425905331</v>
      </c>
      <c r="L14">
        <f t="shared" si="6"/>
        <v>-1.0688537561049067</v>
      </c>
      <c r="O14">
        <f t="shared" si="7"/>
        <v>0</v>
      </c>
      <c r="P14" t="s">
        <v>35</v>
      </c>
      <c r="Q14">
        <v>-49.123299671715472</v>
      </c>
      <c r="Z14" t="s">
        <v>50</v>
      </c>
      <c r="AA14" t="s">
        <v>49</v>
      </c>
      <c r="AB14">
        <v>153</v>
      </c>
    </row>
    <row r="15" spans="1:28" x14ac:dyDescent="0.25">
      <c r="A15">
        <f t="shared" si="0"/>
        <v>-1</v>
      </c>
      <c r="B15">
        <f t="shared" si="1"/>
        <v>145</v>
      </c>
      <c r="C15">
        <f t="shared" si="2"/>
        <v>0</v>
      </c>
      <c r="D15">
        <f t="shared" si="3"/>
        <v>0.16204216405004346</v>
      </c>
      <c r="E15">
        <f t="shared" si="4"/>
        <v>0</v>
      </c>
      <c r="K15">
        <f t="shared" si="5"/>
        <v>0.83795783594995654</v>
      </c>
      <c r="L15">
        <f t="shared" si="6"/>
        <v>-0.17678749486141815</v>
      </c>
      <c r="O15">
        <f t="shared" si="7"/>
        <v>1</v>
      </c>
      <c r="P15" t="s">
        <v>32</v>
      </c>
      <c r="Q15">
        <f>2*(Q8-Q14)</f>
        <v>4.778593826023851</v>
      </c>
      <c r="Z15" t="s">
        <v>47</v>
      </c>
      <c r="AA15" t="s">
        <v>48</v>
      </c>
      <c r="AB15">
        <v>145</v>
      </c>
    </row>
    <row r="16" spans="1:28" x14ac:dyDescent="0.25">
      <c r="A16">
        <f t="shared" si="0"/>
        <v>-1</v>
      </c>
      <c r="B16">
        <f t="shared" si="1"/>
        <v>170</v>
      </c>
      <c r="C16">
        <f t="shared" si="2"/>
        <v>0</v>
      </c>
      <c r="D16">
        <f t="shared" si="3"/>
        <v>8.6473379168672704E-2</v>
      </c>
      <c r="E16">
        <f t="shared" si="4"/>
        <v>0</v>
      </c>
      <c r="K16">
        <f t="shared" si="5"/>
        <v>0.9135266208313273</v>
      </c>
      <c r="L16">
        <f t="shared" si="6"/>
        <v>-9.0442762010875519E-2</v>
      </c>
      <c r="O16">
        <f t="shared" si="7"/>
        <v>1</v>
      </c>
      <c r="P16" t="s">
        <v>33</v>
      </c>
      <c r="Q16">
        <f>1-_xlfn.CHISQ.DIST(Q15,1,1)</f>
        <v>2.8815641707558237E-2</v>
      </c>
      <c r="Z16" t="s">
        <v>47</v>
      </c>
      <c r="AA16" t="s">
        <v>48</v>
      </c>
      <c r="AB16">
        <v>170</v>
      </c>
    </row>
    <row r="17" spans="1:28" x14ac:dyDescent="0.25">
      <c r="A17">
        <f t="shared" si="0"/>
        <v>-1</v>
      </c>
      <c r="B17">
        <f t="shared" si="1"/>
        <v>175</v>
      </c>
      <c r="C17">
        <f t="shared" si="2"/>
        <v>0</v>
      </c>
      <c r="D17">
        <f t="shared" si="3"/>
        <v>7.5197802940849282E-2</v>
      </c>
      <c r="E17">
        <f t="shared" si="4"/>
        <v>0</v>
      </c>
      <c r="K17">
        <f t="shared" si="5"/>
        <v>0.92480219705915068</v>
      </c>
      <c r="L17">
        <f t="shared" si="6"/>
        <v>-7.8175405354096589E-2</v>
      </c>
      <c r="O17">
        <f t="shared" si="7"/>
        <v>1</v>
      </c>
      <c r="Z17" t="s">
        <v>47</v>
      </c>
      <c r="AA17" t="s">
        <v>48</v>
      </c>
      <c r="AB17">
        <v>175</v>
      </c>
    </row>
    <row r="18" spans="1:28" ht="14.45" x14ac:dyDescent="0.3">
      <c r="A18">
        <f t="shared" si="0"/>
        <v>1</v>
      </c>
      <c r="B18">
        <f t="shared" si="1"/>
        <v>175</v>
      </c>
      <c r="C18">
        <f t="shared" si="2"/>
        <v>0</v>
      </c>
      <c r="D18">
        <f t="shared" si="3"/>
        <v>0.23126432937279143</v>
      </c>
      <c r="E18">
        <f t="shared" si="4"/>
        <v>0</v>
      </c>
      <c r="K18">
        <f t="shared" si="5"/>
        <v>0.7687356706272086</v>
      </c>
      <c r="L18">
        <f t="shared" si="6"/>
        <v>-0.26300809986965867</v>
      </c>
      <c r="O18">
        <f t="shared" si="7"/>
        <v>1</v>
      </c>
      <c r="P18" s="1" t="s">
        <v>56</v>
      </c>
      <c r="Z18" t="s">
        <v>47</v>
      </c>
      <c r="AA18" t="s">
        <v>49</v>
      </c>
      <c r="AB18">
        <v>175</v>
      </c>
    </row>
    <row r="19" spans="1:28" ht="14.45" x14ac:dyDescent="0.3">
      <c r="A19">
        <f t="shared" si="0"/>
        <v>1</v>
      </c>
      <c r="B19">
        <f t="shared" si="1"/>
        <v>170</v>
      </c>
      <c r="C19">
        <f t="shared" si="2"/>
        <v>0</v>
      </c>
      <c r="D19">
        <f t="shared" si="3"/>
        <v>0.25483549502087471</v>
      </c>
      <c r="E19">
        <f t="shared" si="4"/>
        <v>0</v>
      </c>
      <c r="K19">
        <f t="shared" si="5"/>
        <v>0.74516450497912534</v>
      </c>
      <c r="L19">
        <f t="shared" si="6"/>
        <v>-0.29415027292545337</v>
      </c>
      <c r="O19">
        <f t="shared" si="7"/>
        <v>1</v>
      </c>
      <c r="P19" t="s">
        <v>35</v>
      </c>
      <c r="Q19">
        <v>-49.134147884183669</v>
      </c>
      <c r="Z19" t="s">
        <v>47</v>
      </c>
      <c r="AA19" t="s">
        <v>49</v>
      </c>
      <c r="AB19">
        <v>170</v>
      </c>
    </row>
    <row r="20" spans="1:28" ht="14.45" x14ac:dyDescent="0.3">
      <c r="A20">
        <f t="shared" si="0"/>
        <v>1</v>
      </c>
      <c r="B20">
        <f t="shared" si="1"/>
        <v>180</v>
      </c>
      <c r="C20">
        <f t="shared" si="2"/>
        <v>0</v>
      </c>
      <c r="D20">
        <f t="shared" si="3"/>
        <v>0.20896181730097543</v>
      </c>
      <c r="E20">
        <f t="shared" si="4"/>
        <v>0</v>
      </c>
      <c r="K20">
        <f t="shared" si="5"/>
        <v>0.79103818269902459</v>
      </c>
      <c r="L20">
        <f t="shared" si="6"/>
        <v>-0.23440904095217274</v>
      </c>
      <c r="O20">
        <f t="shared" si="7"/>
        <v>1</v>
      </c>
      <c r="P20" t="s">
        <v>32</v>
      </c>
      <c r="Q20">
        <f>2*(Q8-Q19)</f>
        <v>4.800290250960245</v>
      </c>
      <c r="Z20" t="s">
        <v>47</v>
      </c>
      <c r="AA20" t="s">
        <v>49</v>
      </c>
      <c r="AB20">
        <v>180</v>
      </c>
    </row>
    <row r="21" spans="1:28" x14ac:dyDescent="0.25">
      <c r="A21">
        <f t="shared" si="0"/>
        <v>-1</v>
      </c>
      <c r="B21">
        <f t="shared" si="1"/>
        <v>135</v>
      </c>
      <c r="C21">
        <f t="shared" si="2"/>
        <v>0</v>
      </c>
      <c r="D21">
        <f t="shared" si="3"/>
        <v>0.2017404337655852</v>
      </c>
      <c r="E21">
        <f t="shared" si="4"/>
        <v>0</v>
      </c>
      <c r="K21">
        <f t="shared" si="5"/>
        <v>0.79825956623441474</v>
      </c>
      <c r="L21">
        <f t="shared" si="6"/>
        <v>-0.22532146345101731</v>
      </c>
      <c r="O21">
        <f t="shared" si="7"/>
        <v>1</v>
      </c>
      <c r="P21" t="s">
        <v>33</v>
      </c>
      <c r="Q21">
        <f>1-_xlfn.CHISQ.DIST(Q20,1,1)</f>
        <v>2.8454942692797802E-2</v>
      </c>
      <c r="Z21" t="s">
        <v>47</v>
      </c>
      <c r="AA21" t="s">
        <v>48</v>
      </c>
      <c r="AB21">
        <v>135</v>
      </c>
    </row>
    <row r="22" spans="1:28" x14ac:dyDescent="0.25">
      <c r="A22">
        <f t="shared" si="0"/>
        <v>-1</v>
      </c>
      <c r="B22">
        <f t="shared" si="1"/>
        <v>170</v>
      </c>
      <c r="C22">
        <f t="shared" si="2"/>
        <v>0</v>
      </c>
      <c r="D22">
        <f t="shared" si="3"/>
        <v>8.6473379168672704E-2</v>
      </c>
      <c r="E22">
        <f t="shared" si="4"/>
        <v>0</v>
      </c>
      <c r="K22">
        <f t="shared" si="5"/>
        <v>0.9135266208313273</v>
      </c>
      <c r="L22">
        <f t="shared" si="6"/>
        <v>-9.0442762010875519E-2</v>
      </c>
      <c r="O22">
        <f t="shared" si="7"/>
        <v>1</v>
      </c>
      <c r="Z22" t="s">
        <v>47</v>
      </c>
      <c r="AA22" t="s">
        <v>48</v>
      </c>
      <c r="AB22">
        <v>170</v>
      </c>
    </row>
    <row r="23" spans="1:28" x14ac:dyDescent="0.25">
      <c r="A23">
        <f t="shared" si="0"/>
        <v>-1</v>
      </c>
      <c r="B23">
        <f t="shared" si="1"/>
        <v>157</v>
      </c>
      <c r="C23">
        <f t="shared" si="2"/>
        <v>0</v>
      </c>
      <c r="D23">
        <f t="shared" si="3"/>
        <v>0.12162257895451203</v>
      </c>
      <c r="E23">
        <f t="shared" si="4"/>
        <v>0</v>
      </c>
      <c r="K23">
        <f t="shared" si="5"/>
        <v>0.87837742104548799</v>
      </c>
      <c r="L23">
        <f t="shared" si="6"/>
        <v>-0.12967891319580177</v>
      </c>
      <c r="O23">
        <f t="shared" si="7"/>
        <v>1</v>
      </c>
      <c r="P23" s="1" t="s">
        <v>57</v>
      </c>
      <c r="Q23">
        <f>-2*Q8+2*3</f>
        <v>99.468005517407093</v>
      </c>
      <c r="Z23" t="s">
        <v>47</v>
      </c>
      <c r="AA23" t="s">
        <v>48</v>
      </c>
      <c r="AB23">
        <v>157</v>
      </c>
    </row>
    <row r="24" spans="1:28" x14ac:dyDescent="0.25">
      <c r="A24">
        <f t="shared" si="0"/>
        <v>-1</v>
      </c>
      <c r="B24">
        <f t="shared" si="1"/>
        <v>130</v>
      </c>
      <c r="C24">
        <f t="shared" si="2"/>
        <v>0</v>
      </c>
      <c r="D24">
        <f t="shared" si="3"/>
        <v>0.22360297391097836</v>
      </c>
      <c r="E24">
        <f t="shared" si="4"/>
        <v>0</v>
      </c>
      <c r="K24">
        <f t="shared" si="5"/>
        <v>0.77639702608902161</v>
      </c>
      <c r="L24">
        <f t="shared" si="6"/>
        <v>-0.25309125807970073</v>
      </c>
      <c r="O24">
        <f t="shared" si="7"/>
        <v>1</v>
      </c>
      <c r="Z24" t="s">
        <v>47</v>
      </c>
      <c r="AA24" t="s">
        <v>48</v>
      </c>
      <c r="AB24">
        <v>130</v>
      </c>
    </row>
    <row r="25" spans="1:28" x14ac:dyDescent="0.25">
      <c r="A25">
        <f t="shared" si="0"/>
        <v>1</v>
      </c>
      <c r="B25">
        <f t="shared" si="1"/>
        <v>185</v>
      </c>
      <c r="C25">
        <f t="shared" si="2"/>
        <v>0</v>
      </c>
      <c r="D25">
        <f t="shared" si="3"/>
        <v>0.18797905751789759</v>
      </c>
      <c r="E25">
        <f t="shared" si="4"/>
        <v>0</v>
      </c>
      <c r="K25">
        <f t="shared" si="5"/>
        <v>0.81202094248210244</v>
      </c>
      <c r="L25">
        <f t="shared" si="6"/>
        <v>-0.20822914791893096</v>
      </c>
      <c r="O25">
        <f t="shared" si="7"/>
        <v>1</v>
      </c>
      <c r="Z25" t="s">
        <v>47</v>
      </c>
      <c r="AA25" t="s">
        <v>49</v>
      </c>
      <c r="AB25">
        <v>185</v>
      </c>
    </row>
    <row r="26" spans="1:28" x14ac:dyDescent="0.25">
      <c r="A26">
        <f t="shared" si="0"/>
        <v>-1</v>
      </c>
      <c r="B26">
        <f t="shared" si="1"/>
        <v>140</v>
      </c>
      <c r="C26">
        <f t="shared" si="2"/>
        <v>1</v>
      </c>
      <c r="D26">
        <f t="shared" si="3"/>
        <v>0.18121090277569193</v>
      </c>
      <c r="E26">
        <f t="shared" si="4"/>
        <v>0</v>
      </c>
      <c r="K26">
        <f t="shared" si="5"/>
        <v>0.18121090277569193</v>
      </c>
      <c r="L26">
        <f t="shared" si="6"/>
        <v>-1.708093717339616</v>
      </c>
      <c r="O26">
        <f t="shared" si="7"/>
        <v>0</v>
      </c>
      <c r="Z26" t="s">
        <v>50</v>
      </c>
      <c r="AA26" t="s">
        <v>48</v>
      </c>
      <c r="AB26">
        <v>140</v>
      </c>
    </row>
    <row r="27" spans="1:28" x14ac:dyDescent="0.25">
      <c r="A27">
        <f t="shared" si="0"/>
        <v>-1</v>
      </c>
      <c r="B27">
        <f t="shared" si="1"/>
        <v>120</v>
      </c>
      <c r="C27">
        <f t="shared" si="2"/>
        <v>0</v>
      </c>
      <c r="D27">
        <f t="shared" si="3"/>
        <v>0.27112878429347909</v>
      </c>
      <c r="E27">
        <f t="shared" si="4"/>
        <v>0</v>
      </c>
      <c r="K27">
        <f t="shared" si="5"/>
        <v>0.72887121570652091</v>
      </c>
      <c r="L27">
        <f t="shared" si="6"/>
        <v>-0.31625822141828114</v>
      </c>
      <c r="O27">
        <f t="shared" si="7"/>
        <v>1</v>
      </c>
      <c r="Z27" t="s">
        <v>47</v>
      </c>
      <c r="AA27" t="s">
        <v>48</v>
      </c>
      <c r="AB27">
        <v>120</v>
      </c>
    </row>
    <row r="28" spans="1:28" x14ac:dyDescent="0.25">
      <c r="A28">
        <f t="shared" si="0"/>
        <v>1</v>
      </c>
      <c r="B28">
        <f t="shared" si="1"/>
        <v>130</v>
      </c>
      <c r="C28">
        <f t="shared" si="2"/>
        <v>0</v>
      </c>
      <c r="D28">
        <f t="shared" si="3"/>
        <v>0.47741786512398587</v>
      </c>
      <c r="E28">
        <f t="shared" si="4"/>
        <v>0</v>
      </c>
      <c r="K28">
        <f t="shared" si="5"/>
        <v>0.52258213487601413</v>
      </c>
      <c r="L28">
        <f t="shared" si="6"/>
        <v>-0.64897311156220205</v>
      </c>
      <c r="O28">
        <f t="shared" si="7"/>
        <v>1</v>
      </c>
      <c r="Z28" t="s">
        <v>47</v>
      </c>
      <c r="AA28" t="s">
        <v>49</v>
      </c>
      <c r="AB28">
        <v>130</v>
      </c>
    </row>
    <row r="29" spans="1:28" x14ac:dyDescent="0.25">
      <c r="A29">
        <f t="shared" si="0"/>
        <v>-1</v>
      </c>
      <c r="B29">
        <f t="shared" si="1"/>
        <v>138</v>
      </c>
      <c r="C29">
        <f t="shared" si="2"/>
        <v>1</v>
      </c>
      <c r="D29">
        <f t="shared" si="3"/>
        <v>0.1892605926746404</v>
      </c>
      <c r="E29">
        <f t="shared" si="4"/>
        <v>0</v>
      </c>
      <c r="K29">
        <f t="shared" si="5"/>
        <v>0.1892605926746404</v>
      </c>
      <c r="L29">
        <f t="shared" si="6"/>
        <v>-1.6646304163702295</v>
      </c>
      <c r="O29">
        <f t="shared" si="7"/>
        <v>0</v>
      </c>
      <c r="Z29" t="s">
        <v>50</v>
      </c>
      <c r="AA29" t="s">
        <v>48</v>
      </c>
      <c r="AB29">
        <v>138</v>
      </c>
    </row>
    <row r="30" spans="1:28" x14ac:dyDescent="0.25">
      <c r="A30">
        <f t="shared" si="0"/>
        <v>1</v>
      </c>
      <c r="B30">
        <f t="shared" si="1"/>
        <v>121</v>
      </c>
      <c r="C30">
        <f t="shared" si="2"/>
        <v>1</v>
      </c>
      <c r="D30">
        <f t="shared" si="3"/>
        <v>0.53147396474991715</v>
      </c>
      <c r="E30">
        <f t="shared" si="4"/>
        <v>1</v>
      </c>
      <c r="K30">
        <f t="shared" si="5"/>
        <v>0.53147396474991715</v>
      </c>
      <c r="L30">
        <f t="shared" si="6"/>
        <v>-0.63210106687796175</v>
      </c>
      <c r="O30">
        <f t="shared" si="7"/>
        <v>1</v>
      </c>
      <c r="Z30" t="s">
        <v>50</v>
      </c>
      <c r="AA30" t="s">
        <v>49</v>
      </c>
      <c r="AB30">
        <v>121</v>
      </c>
    </row>
    <row r="31" spans="1:28" x14ac:dyDescent="0.25">
      <c r="A31">
        <f t="shared" si="0"/>
        <v>-1</v>
      </c>
      <c r="B31">
        <f t="shared" si="1"/>
        <v>125</v>
      </c>
      <c r="C31">
        <f t="shared" si="2"/>
        <v>0</v>
      </c>
      <c r="D31">
        <f t="shared" si="3"/>
        <v>0.24675336406426529</v>
      </c>
      <c r="E31">
        <f t="shared" si="4"/>
        <v>0</v>
      </c>
      <c r="K31">
        <f t="shared" si="5"/>
        <v>0.75324663593573471</v>
      </c>
      <c r="L31">
        <f t="shared" si="6"/>
        <v>-0.28336256704776674</v>
      </c>
      <c r="O31">
        <f t="shared" si="7"/>
        <v>1</v>
      </c>
      <c r="Z31" t="s">
        <v>47</v>
      </c>
      <c r="AA31" t="s">
        <v>48</v>
      </c>
      <c r="AB31">
        <v>125</v>
      </c>
    </row>
    <row r="32" spans="1:28" x14ac:dyDescent="0.25">
      <c r="A32">
        <f t="shared" si="0"/>
        <v>-1</v>
      </c>
      <c r="B32">
        <f t="shared" si="1"/>
        <v>116</v>
      </c>
      <c r="C32">
        <f t="shared" si="2"/>
        <v>1</v>
      </c>
      <c r="D32">
        <f t="shared" si="3"/>
        <v>0.29145771102719498</v>
      </c>
      <c r="E32">
        <f t="shared" si="4"/>
        <v>0</v>
      </c>
      <c r="K32">
        <f t="shared" si="5"/>
        <v>0.29145771102719498</v>
      </c>
      <c r="L32">
        <f t="shared" si="6"/>
        <v>-1.2328603573789307</v>
      </c>
      <c r="O32">
        <f t="shared" si="7"/>
        <v>0</v>
      </c>
      <c r="Z32" t="s">
        <v>50</v>
      </c>
      <c r="AA32" t="s">
        <v>48</v>
      </c>
      <c r="AB32">
        <v>116</v>
      </c>
    </row>
    <row r="33" spans="1:28" x14ac:dyDescent="0.25">
      <c r="A33">
        <f t="shared" si="0"/>
        <v>-1</v>
      </c>
      <c r="B33">
        <f t="shared" si="1"/>
        <v>145</v>
      </c>
      <c r="C33">
        <f t="shared" si="2"/>
        <v>0</v>
      </c>
      <c r="D33">
        <f t="shared" si="3"/>
        <v>0.16204216405004346</v>
      </c>
      <c r="E33">
        <f t="shared" si="4"/>
        <v>0</v>
      </c>
      <c r="K33">
        <f t="shared" si="5"/>
        <v>0.83795783594995654</v>
      </c>
      <c r="L33">
        <f t="shared" si="6"/>
        <v>-0.17678749486141815</v>
      </c>
      <c r="O33">
        <f t="shared" si="7"/>
        <v>1</v>
      </c>
      <c r="Z33" t="s">
        <v>47</v>
      </c>
      <c r="AA33" t="s">
        <v>48</v>
      </c>
      <c r="AB33">
        <v>145</v>
      </c>
    </row>
    <row r="34" spans="1:28" x14ac:dyDescent="0.25">
      <c r="A34">
        <f t="shared" si="0"/>
        <v>1</v>
      </c>
      <c r="B34">
        <f t="shared" si="1"/>
        <v>150</v>
      </c>
      <c r="C34">
        <f t="shared" si="2"/>
        <v>1</v>
      </c>
      <c r="D34">
        <f t="shared" si="3"/>
        <v>0.36017439566677256</v>
      </c>
      <c r="E34">
        <f t="shared" si="4"/>
        <v>0</v>
      </c>
      <c r="K34">
        <f t="shared" si="5"/>
        <v>0.36017439566677256</v>
      </c>
      <c r="L34">
        <f t="shared" si="6"/>
        <v>-1.0211669324237778</v>
      </c>
      <c r="O34">
        <f t="shared" si="7"/>
        <v>0</v>
      </c>
      <c r="Z34" t="s">
        <v>50</v>
      </c>
      <c r="AA34" t="s">
        <v>49</v>
      </c>
      <c r="AB34">
        <v>150</v>
      </c>
    </row>
    <row r="35" spans="1:28" x14ac:dyDescent="0.25">
      <c r="A35">
        <f t="shared" si="0"/>
        <v>1</v>
      </c>
      <c r="B35">
        <f t="shared" si="1"/>
        <v>112</v>
      </c>
      <c r="C35">
        <f t="shared" si="2"/>
        <v>0</v>
      </c>
      <c r="D35">
        <f t="shared" si="3"/>
        <v>0.58495509320342021</v>
      </c>
      <c r="E35">
        <f t="shared" si="4"/>
        <v>1</v>
      </c>
      <c r="K35">
        <f t="shared" si="5"/>
        <v>0.41504490679657979</v>
      </c>
      <c r="L35">
        <f t="shared" si="6"/>
        <v>-0.87936855545724124</v>
      </c>
      <c r="O35">
        <f t="shared" si="7"/>
        <v>0</v>
      </c>
      <c r="Z35" t="s">
        <v>47</v>
      </c>
      <c r="AA35" t="s">
        <v>49</v>
      </c>
      <c r="AB35">
        <v>112</v>
      </c>
    </row>
    <row r="36" spans="1:28" x14ac:dyDescent="0.25">
      <c r="A36">
        <f t="shared" si="0"/>
        <v>-1</v>
      </c>
      <c r="B36">
        <f t="shared" si="1"/>
        <v>125</v>
      </c>
      <c r="C36">
        <f t="shared" si="2"/>
        <v>0</v>
      </c>
      <c r="D36">
        <f t="shared" si="3"/>
        <v>0.24675336406426529</v>
      </c>
      <c r="E36">
        <f t="shared" si="4"/>
        <v>0</v>
      </c>
      <c r="K36">
        <f t="shared" si="5"/>
        <v>0.75324663593573471</v>
      </c>
      <c r="L36">
        <f t="shared" si="6"/>
        <v>-0.28336256704776674</v>
      </c>
      <c r="O36">
        <f t="shared" si="7"/>
        <v>1</v>
      </c>
      <c r="Z36" t="s">
        <v>47</v>
      </c>
      <c r="AA36" t="s">
        <v>48</v>
      </c>
      <c r="AB36">
        <v>125</v>
      </c>
    </row>
    <row r="37" spans="1:28" x14ac:dyDescent="0.25">
      <c r="A37">
        <f t="shared" si="0"/>
        <v>-1</v>
      </c>
      <c r="B37">
        <f t="shared" si="1"/>
        <v>190</v>
      </c>
      <c r="C37">
        <f t="shared" si="2"/>
        <v>0</v>
      </c>
      <c r="D37">
        <f t="shared" si="3"/>
        <v>4.8040871871398716E-2</v>
      </c>
      <c r="E37">
        <f t="shared" si="4"/>
        <v>0</v>
      </c>
      <c r="K37">
        <f t="shared" si="5"/>
        <v>0.95195912812860128</v>
      </c>
      <c r="L37">
        <f t="shared" si="6"/>
        <v>-4.9233177750427681E-2</v>
      </c>
      <c r="O37">
        <f t="shared" si="7"/>
        <v>1</v>
      </c>
      <c r="Z37" t="s">
        <v>47</v>
      </c>
      <c r="AA37" t="s">
        <v>48</v>
      </c>
      <c r="AB37">
        <v>190</v>
      </c>
    </row>
    <row r="38" spans="1:28" x14ac:dyDescent="0.25">
      <c r="A38">
        <f t="shared" si="0"/>
        <v>-1</v>
      </c>
      <c r="B38">
        <f t="shared" si="1"/>
        <v>155</v>
      </c>
      <c r="C38">
        <f t="shared" si="2"/>
        <v>0</v>
      </c>
      <c r="D38">
        <f t="shared" si="3"/>
        <v>0.12781552605676627</v>
      </c>
      <c r="E38">
        <f t="shared" si="4"/>
        <v>0</v>
      </c>
      <c r="K38">
        <f t="shared" si="5"/>
        <v>0.87218447394323373</v>
      </c>
      <c r="L38">
        <f t="shared" si="6"/>
        <v>-0.13675432476007704</v>
      </c>
      <c r="O38">
        <f t="shared" si="7"/>
        <v>1</v>
      </c>
      <c r="Z38" t="s">
        <v>47</v>
      </c>
      <c r="AA38" t="s">
        <v>48</v>
      </c>
      <c r="AB38">
        <v>155</v>
      </c>
    </row>
    <row r="39" spans="1:28" x14ac:dyDescent="0.25">
      <c r="A39">
        <f t="shared" si="0"/>
        <v>1</v>
      </c>
      <c r="B39">
        <f t="shared" si="1"/>
        <v>170</v>
      </c>
      <c r="C39">
        <f t="shared" si="2"/>
        <v>0</v>
      </c>
      <c r="D39">
        <f t="shared" si="3"/>
        <v>0.25483549502087471</v>
      </c>
      <c r="E39">
        <f t="shared" si="4"/>
        <v>0</v>
      </c>
      <c r="K39">
        <f t="shared" si="5"/>
        <v>0.74516450497912534</v>
      </c>
      <c r="L39">
        <f t="shared" si="6"/>
        <v>-0.29415027292545337</v>
      </c>
      <c r="O39">
        <f t="shared" si="7"/>
        <v>1</v>
      </c>
      <c r="Z39" t="s">
        <v>47</v>
      </c>
      <c r="AA39" t="s">
        <v>49</v>
      </c>
      <c r="AB39">
        <v>170</v>
      </c>
    </row>
    <row r="40" spans="1:28" x14ac:dyDescent="0.25">
      <c r="A40">
        <f t="shared" si="0"/>
        <v>-1</v>
      </c>
      <c r="B40">
        <f t="shared" si="1"/>
        <v>155</v>
      </c>
      <c r="C40">
        <f t="shared" si="2"/>
        <v>0</v>
      </c>
      <c r="D40">
        <f t="shared" si="3"/>
        <v>0.12781552605676627</v>
      </c>
      <c r="E40">
        <f t="shared" si="4"/>
        <v>0</v>
      </c>
      <c r="K40">
        <f t="shared" si="5"/>
        <v>0.87218447394323373</v>
      </c>
      <c r="L40">
        <f t="shared" si="6"/>
        <v>-0.13675432476007704</v>
      </c>
      <c r="O40">
        <f t="shared" si="7"/>
        <v>1</v>
      </c>
      <c r="Z40" t="s">
        <v>47</v>
      </c>
      <c r="AA40" t="s">
        <v>48</v>
      </c>
      <c r="AB40">
        <v>155</v>
      </c>
    </row>
    <row r="41" spans="1:28" x14ac:dyDescent="0.25">
      <c r="A41">
        <f t="shared" si="0"/>
        <v>-1</v>
      </c>
      <c r="B41">
        <f t="shared" si="1"/>
        <v>215</v>
      </c>
      <c r="C41">
        <f t="shared" si="2"/>
        <v>0</v>
      </c>
      <c r="D41">
        <f t="shared" si="3"/>
        <v>2.0632853507384814E-2</v>
      </c>
      <c r="E41">
        <f t="shared" si="4"/>
        <v>0</v>
      </c>
      <c r="K41">
        <f t="shared" si="5"/>
        <v>0.97936714649261514</v>
      </c>
      <c r="L41">
        <f t="shared" si="6"/>
        <v>-2.0848684801141645E-2</v>
      </c>
      <c r="O41">
        <f t="shared" si="7"/>
        <v>1</v>
      </c>
      <c r="Z41" t="s">
        <v>47</v>
      </c>
      <c r="AA41" t="s">
        <v>48</v>
      </c>
      <c r="AB41">
        <v>215</v>
      </c>
    </row>
    <row r="42" spans="1:28" x14ac:dyDescent="0.25">
      <c r="A42">
        <f t="shared" si="0"/>
        <v>1</v>
      </c>
      <c r="B42">
        <f t="shared" si="1"/>
        <v>150</v>
      </c>
      <c r="C42">
        <f t="shared" si="2"/>
        <v>0</v>
      </c>
      <c r="D42">
        <f t="shared" si="3"/>
        <v>0.36017439566677256</v>
      </c>
      <c r="E42">
        <f t="shared" si="4"/>
        <v>0</v>
      </c>
      <c r="K42">
        <f t="shared" si="5"/>
        <v>0.63982560433322744</v>
      </c>
      <c r="L42">
        <f t="shared" si="6"/>
        <v>-0.4465596329907775</v>
      </c>
      <c r="O42">
        <f t="shared" si="7"/>
        <v>1</v>
      </c>
      <c r="Z42" t="s">
        <v>47</v>
      </c>
      <c r="AA42" t="s">
        <v>49</v>
      </c>
      <c r="AB42">
        <v>150</v>
      </c>
    </row>
    <row r="43" spans="1:28" x14ac:dyDescent="0.25">
      <c r="A43">
        <f t="shared" si="0"/>
        <v>1</v>
      </c>
      <c r="B43">
        <f t="shared" si="1"/>
        <v>145</v>
      </c>
      <c r="C43">
        <f t="shared" si="2"/>
        <v>0</v>
      </c>
      <c r="D43">
        <f t="shared" si="3"/>
        <v>0.38872129747173911</v>
      </c>
      <c r="E43">
        <f t="shared" si="4"/>
        <v>0</v>
      </c>
      <c r="K43">
        <f t="shared" si="5"/>
        <v>0.61127870252826089</v>
      </c>
      <c r="L43">
        <f t="shared" si="6"/>
        <v>-0.49220228219405615</v>
      </c>
      <c r="O43">
        <f t="shared" si="7"/>
        <v>1</v>
      </c>
      <c r="Z43" t="s">
        <v>47</v>
      </c>
      <c r="AA43" t="s">
        <v>49</v>
      </c>
      <c r="AB43">
        <v>145</v>
      </c>
    </row>
    <row r="44" spans="1:28" x14ac:dyDescent="0.25">
      <c r="A44">
        <f t="shared" si="0"/>
        <v>-1</v>
      </c>
      <c r="B44">
        <f t="shared" si="1"/>
        <v>155</v>
      </c>
      <c r="C44">
        <f t="shared" si="2"/>
        <v>0</v>
      </c>
      <c r="D44">
        <f t="shared" si="3"/>
        <v>0.12781552605676627</v>
      </c>
      <c r="E44">
        <f t="shared" si="4"/>
        <v>0</v>
      </c>
      <c r="K44">
        <f t="shared" si="5"/>
        <v>0.87218447394323373</v>
      </c>
      <c r="L44">
        <f t="shared" si="6"/>
        <v>-0.13675432476007704</v>
      </c>
      <c r="O44">
        <f t="shared" si="7"/>
        <v>1</v>
      </c>
      <c r="Z44" t="s">
        <v>47</v>
      </c>
      <c r="AA44" t="s">
        <v>48</v>
      </c>
      <c r="AB44">
        <v>155</v>
      </c>
    </row>
    <row r="45" spans="1:28" x14ac:dyDescent="0.25">
      <c r="A45">
        <f t="shared" si="0"/>
        <v>-1</v>
      </c>
      <c r="B45">
        <f t="shared" si="1"/>
        <v>155</v>
      </c>
      <c r="C45">
        <f t="shared" si="2"/>
        <v>0</v>
      </c>
      <c r="D45">
        <f t="shared" si="3"/>
        <v>0.12781552605676627</v>
      </c>
      <c r="E45">
        <f t="shared" si="4"/>
        <v>0</v>
      </c>
      <c r="K45">
        <f t="shared" si="5"/>
        <v>0.87218447394323373</v>
      </c>
      <c r="L45">
        <f t="shared" si="6"/>
        <v>-0.13675432476007704</v>
      </c>
      <c r="O45">
        <f t="shared" si="7"/>
        <v>1</v>
      </c>
      <c r="Z45" t="s">
        <v>47</v>
      </c>
      <c r="AA45" t="s">
        <v>48</v>
      </c>
      <c r="AB45">
        <v>155</v>
      </c>
    </row>
    <row r="46" spans="1:28" x14ac:dyDescent="0.25">
      <c r="A46">
        <f t="shared" si="0"/>
        <v>-1</v>
      </c>
      <c r="B46">
        <f t="shared" si="1"/>
        <v>150</v>
      </c>
      <c r="C46">
        <f t="shared" si="2"/>
        <v>0</v>
      </c>
      <c r="D46">
        <f t="shared" si="3"/>
        <v>0.14424527264861667</v>
      </c>
      <c r="E46">
        <f t="shared" si="4"/>
        <v>0</v>
      </c>
      <c r="K46">
        <f t="shared" si="5"/>
        <v>0.85575472735138336</v>
      </c>
      <c r="L46">
        <f t="shared" si="6"/>
        <v>-0.15577147736696248</v>
      </c>
      <c r="O46">
        <f t="shared" si="7"/>
        <v>1</v>
      </c>
      <c r="Z46" t="s">
        <v>47</v>
      </c>
      <c r="AA46" t="s">
        <v>48</v>
      </c>
      <c r="AB46">
        <v>150</v>
      </c>
    </row>
    <row r="47" spans="1:28" x14ac:dyDescent="0.25">
      <c r="A47">
        <f t="shared" si="0"/>
        <v>1</v>
      </c>
      <c r="B47">
        <f t="shared" si="1"/>
        <v>155</v>
      </c>
      <c r="C47">
        <f t="shared" si="2"/>
        <v>0</v>
      </c>
      <c r="D47">
        <f t="shared" si="3"/>
        <v>0.33238678586227177</v>
      </c>
      <c r="E47">
        <f t="shared" si="4"/>
        <v>0</v>
      </c>
      <c r="K47">
        <f t="shared" si="5"/>
        <v>0.66761321413772823</v>
      </c>
      <c r="L47">
        <f t="shared" si="6"/>
        <v>-0.4040462938946473</v>
      </c>
      <c r="O47">
        <f t="shared" si="7"/>
        <v>1</v>
      </c>
      <c r="Z47" t="s">
        <v>47</v>
      </c>
      <c r="AA47" t="s">
        <v>49</v>
      </c>
      <c r="AB47">
        <v>155</v>
      </c>
    </row>
    <row r="48" spans="1:28" x14ac:dyDescent="0.25">
      <c r="A48">
        <f t="shared" si="0"/>
        <v>-1</v>
      </c>
      <c r="B48">
        <f t="shared" si="1"/>
        <v>150</v>
      </c>
      <c r="C48">
        <f t="shared" si="2"/>
        <v>0</v>
      </c>
      <c r="D48">
        <f t="shared" si="3"/>
        <v>0.14424527264861667</v>
      </c>
      <c r="E48">
        <f t="shared" si="4"/>
        <v>0</v>
      </c>
      <c r="K48">
        <f t="shared" si="5"/>
        <v>0.85575472735138336</v>
      </c>
      <c r="L48">
        <f t="shared" si="6"/>
        <v>-0.15577147736696248</v>
      </c>
      <c r="O48">
        <f t="shared" si="7"/>
        <v>1</v>
      </c>
      <c r="Z48" t="s">
        <v>47</v>
      </c>
      <c r="AA48" t="s">
        <v>48</v>
      </c>
      <c r="AB48">
        <v>150</v>
      </c>
    </row>
    <row r="49" spans="1:28" x14ac:dyDescent="0.25">
      <c r="A49">
        <f t="shared" si="0"/>
        <v>1</v>
      </c>
      <c r="B49">
        <f t="shared" si="1"/>
        <v>180</v>
      </c>
      <c r="C49">
        <f t="shared" si="2"/>
        <v>1</v>
      </c>
      <c r="D49">
        <f t="shared" si="3"/>
        <v>0.20896181730097543</v>
      </c>
      <c r="E49">
        <f t="shared" si="4"/>
        <v>0</v>
      </c>
      <c r="K49">
        <f t="shared" si="5"/>
        <v>0.20896181730097543</v>
      </c>
      <c r="L49">
        <f t="shared" si="6"/>
        <v>-1.5656037360474349</v>
      </c>
      <c r="O49">
        <f t="shared" si="7"/>
        <v>0</v>
      </c>
      <c r="Z49" t="s">
        <v>50</v>
      </c>
      <c r="AA49" t="s">
        <v>49</v>
      </c>
      <c r="AB49">
        <v>180</v>
      </c>
    </row>
    <row r="50" spans="1:28" x14ac:dyDescent="0.25">
      <c r="A50">
        <f t="shared" si="0"/>
        <v>-1</v>
      </c>
      <c r="B50">
        <f t="shared" si="1"/>
        <v>160</v>
      </c>
      <c r="C50">
        <f t="shared" si="2"/>
        <v>0</v>
      </c>
      <c r="D50">
        <f t="shared" si="3"/>
        <v>0.11273370853179369</v>
      </c>
      <c r="E50">
        <f t="shared" si="4"/>
        <v>0</v>
      </c>
      <c r="K50">
        <f t="shared" si="5"/>
        <v>0.88726629146820635</v>
      </c>
      <c r="L50">
        <f t="shared" si="6"/>
        <v>-0.11961012586788601</v>
      </c>
      <c r="O50">
        <f t="shared" si="7"/>
        <v>1</v>
      </c>
      <c r="Z50" t="s">
        <v>47</v>
      </c>
      <c r="AA50" t="s">
        <v>48</v>
      </c>
      <c r="AB50">
        <v>160</v>
      </c>
    </row>
    <row r="51" spans="1:28" x14ac:dyDescent="0.25">
      <c r="A51">
        <f t="shared" si="0"/>
        <v>-1</v>
      </c>
      <c r="B51">
        <f t="shared" si="1"/>
        <v>135</v>
      </c>
      <c r="C51">
        <f t="shared" si="2"/>
        <v>0</v>
      </c>
      <c r="D51">
        <f t="shared" si="3"/>
        <v>0.2017404337655852</v>
      </c>
      <c r="E51">
        <f t="shared" si="4"/>
        <v>0</v>
      </c>
      <c r="K51">
        <f t="shared" si="5"/>
        <v>0.79825956623441474</v>
      </c>
      <c r="L51">
        <f t="shared" si="6"/>
        <v>-0.22532146345101731</v>
      </c>
      <c r="O51">
        <f t="shared" si="7"/>
        <v>1</v>
      </c>
      <c r="Z51" t="s">
        <v>47</v>
      </c>
      <c r="AA51" t="s">
        <v>48</v>
      </c>
      <c r="AB51">
        <v>135</v>
      </c>
    </row>
    <row r="52" spans="1:28" x14ac:dyDescent="0.25">
      <c r="A52">
        <f t="shared" si="0"/>
        <v>-1</v>
      </c>
      <c r="B52">
        <f t="shared" si="1"/>
        <v>160</v>
      </c>
      <c r="C52">
        <f t="shared" si="2"/>
        <v>0</v>
      </c>
      <c r="D52">
        <f t="shared" si="3"/>
        <v>0.11273370853179369</v>
      </c>
      <c r="E52">
        <f t="shared" si="4"/>
        <v>0</v>
      </c>
      <c r="K52">
        <f t="shared" si="5"/>
        <v>0.88726629146820635</v>
      </c>
      <c r="L52">
        <f t="shared" si="6"/>
        <v>-0.11961012586788601</v>
      </c>
      <c r="O52">
        <f t="shared" si="7"/>
        <v>1</v>
      </c>
      <c r="Z52" t="s">
        <v>47</v>
      </c>
      <c r="AA52" t="s">
        <v>48</v>
      </c>
      <c r="AB52">
        <v>160</v>
      </c>
    </row>
    <row r="53" spans="1:28" x14ac:dyDescent="0.25">
      <c r="A53">
        <f t="shared" si="0"/>
        <v>1</v>
      </c>
      <c r="B53">
        <f t="shared" si="1"/>
        <v>130</v>
      </c>
      <c r="C53">
        <f t="shared" si="2"/>
        <v>0</v>
      </c>
      <c r="D53">
        <f t="shared" si="3"/>
        <v>0.47741786512398587</v>
      </c>
      <c r="E53">
        <f t="shared" si="4"/>
        <v>0</v>
      </c>
      <c r="K53">
        <f t="shared" si="5"/>
        <v>0.52258213487601413</v>
      </c>
      <c r="L53">
        <f t="shared" si="6"/>
        <v>-0.64897311156220205</v>
      </c>
      <c r="O53">
        <f t="shared" si="7"/>
        <v>1</v>
      </c>
      <c r="Z53" t="s">
        <v>47</v>
      </c>
      <c r="AA53" t="s">
        <v>49</v>
      </c>
      <c r="AB53">
        <v>130</v>
      </c>
    </row>
    <row r="54" spans="1:28" x14ac:dyDescent="0.25">
      <c r="A54">
        <f t="shared" si="0"/>
        <v>1</v>
      </c>
      <c r="B54">
        <f t="shared" si="1"/>
        <v>155</v>
      </c>
      <c r="C54">
        <f t="shared" si="2"/>
        <v>0</v>
      </c>
      <c r="D54">
        <f t="shared" si="3"/>
        <v>0.33238678586227177</v>
      </c>
      <c r="E54">
        <f t="shared" si="4"/>
        <v>0</v>
      </c>
      <c r="K54">
        <f t="shared" si="5"/>
        <v>0.66761321413772823</v>
      </c>
      <c r="L54">
        <f t="shared" si="6"/>
        <v>-0.4040462938946473</v>
      </c>
      <c r="O54">
        <f t="shared" si="7"/>
        <v>1</v>
      </c>
      <c r="Z54" t="s">
        <v>47</v>
      </c>
      <c r="AA54" t="s">
        <v>49</v>
      </c>
      <c r="AB54">
        <v>155</v>
      </c>
    </row>
    <row r="55" spans="1:28" x14ac:dyDescent="0.25">
      <c r="A55">
        <f t="shared" si="0"/>
        <v>1</v>
      </c>
      <c r="B55">
        <f t="shared" si="1"/>
        <v>150</v>
      </c>
      <c r="C55">
        <f t="shared" si="2"/>
        <v>0</v>
      </c>
      <c r="D55">
        <f t="shared" si="3"/>
        <v>0.36017439566677256</v>
      </c>
      <c r="E55">
        <f t="shared" si="4"/>
        <v>0</v>
      </c>
      <c r="K55">
        <f t="shared" si="5"/>
        <v>0.63982560433322744</v>
      </c>
      <c r="L55">
        <f t="shared" si="6"/>
        <v>-0.4465596329907775</v>
      </c>
      <c r="O55">
        <f t="shared" si="7"/>
        <v>1</v>
      </c>
      <c r="Z55" t="s">
        <v>47</v>
      </c>
      <c r="AA55" t="s">
        <v>49</v>
      </c>
      <c r="AB55">
        <v>150</v>
      </c>
    </row>
    <row r="56" spans="1:28" x14ac:dyDescent="0.25">
      <c r="A56">
        <f t="shared" si="0"/>
        <v>-1</v>
      </c>
      <c r="B56">
        <f t="shared" si="1"/>
        <v>148</v>
      </c>
      <c r="C56">
        <f t="shared" si="2"/>
        <v>0</v>
      </c>
      <c r="D56">
        <f t="shared" si="3"/>
        <v>0.15119936886495308</v>
      </c>
      <c r="E56">
        <f t="shared" si="4"/>
        <v>0</v>
      </c>
      <c r="K56">
        <f t="shared" si="5"/>
        <v>0.84880063113504689</v>
      </c>
      <c r="L56">
        <f t="shared" si="6"/>
        <v>-0.16393094812108627</v>
      </c>
      <c r="O56">
        <f t="shared" si="7"/>
        <v>1</v>
      </c>
      <c r="Z56" t="s">
        <v>47</v>
      </c>
      <c r="AA56" t="s">
        <v>48</v>
      </c>
      <c r="AB56">
        <v>148</v>
      </c>
    </row>
    <row r="57" spans="1:28" x14ac:dyDescent="0.25">
      <c r="A57">
        <f t="shared" si="0"/>
        <v>-1</v>
      </c>
      <c r="B57">
        <f t="shared" si="1"/>
        <v>155</v>
      </c>
      <c r="C57">
        <f t="shared" si="2"/>
        <v>1</v>
      </c>
      <c r="D57">
        <f t="shared" si="3"/>
        <v>0.12781552605676627</v>
      </c>
      <c r="E57">
        <f t="shared" si="4"/>
        <v>0</v>
      </c>
      <c r="K57">
        <f t="shared" si="5"/>
        <v>0.12781552605676627</v>
      </c>
      <c r="L57">
        <f t="shared" si="6"/>
        <v>-2.057167257275522</v>
      </c>
      <c r="O57">
        <f t="shared" si="7"/>
        <v>0</v>
      </c>
      <c r="Z57" t="s">
        <v>50</v>
      </c>
      <c r="AA57" t="s">
        <v>48</v>
      </c>
      <c r="AB57">
        <v>155</v>
      </c>
    </row>
    <row r="58" spans="1:28" x14ac:dyDescent="0.25">
      <c r="A58">
        <f t="shared" si="0"/>
        <v>-1</v>
      </c>
      <c r="B58">
        <f t="shared" si="1"/>
        <v>150</v>
      </c>
      <c r="C58">
        <f t="shared" si="2"/>
        <v>0</v>
      </c>
      <c r="D58">
        <f t="shared" si="3"/>
        <v>0.14424527264861667</v>
      </c>
      <c r="E58">
        <f t="shared" si="4"/>
        <v>0</v>
      </c>
      <c r="K58">
        <f t="shared" si="5"/>
        <v>0.85575472735138336</v>
      </c>
      <c r="L58">
        <f t="shared" si="6"/>
        <v>-0.15577147736696248</v>
      </c>
      <c r="O58">
        <f t="shared" si="7"/>
        <v>1</v>
      </c>
      <c r="Z58" t="s">
        <v>47</v>
      </c>
      <c r="AA58" t="s">
        <v>48</v>
      </c>
      <c r="AB58">
        <v>150</v>
      </c>
    </row>
    <row r="59" spans="1:28" x14ac:dyDescent="0.25">
      <c r="A59">
        <f t="shared" si="0"/>
        <v>1</v>
      </c>
      <c r="B59">
        <f t="shared" si="1"/>
        <v>140</v>
      </c>
      <c r="C59">
        <f t="shared" si="2"/>
        <v>1</v>
      </c>
      <c r="D59">
        <f t="shared" si="3"/>
        <v>0.41788232836901201</v>
      </c>
      <c r="E59">
        <f t="shared" si="4"/>
        <v>0</v>
      </c>
      <c r="K59">
        <f t="shared" si="5"/>
        <v>0.41788232836901201</v>
      </c>
      <c r="L59">
        <f t="shared" si="6"/>
        <v>-0.87255539716798114</v>
      </c>
      <c r="O59">
        <f t="shared" si="7"/>
        <v>0</v>
      </c>
      <c r="Z59" t="s">
        <v>50</v>
      </c>
      <c r="AA59" t="s">
        <v>49</v>
      </c>
      <c r="AB59">
        <v>140</v>
      </c>
    </row>
    <row r="60" spans="1:28" x14ac:dyDescent="0.25">
      <c r="A60">
        <f t="shared" si="0"/>
        <v>-1</v>
      </c>
      <c r="B60">
        <f t="shared" si="1"/>
        <v>180</v>
      </c>
      <c r="C60">
        <f t="shared" si="2"/>
        <v>0</v>
      </c>
      <c r="D60">
        <f t="shared" si="3"/>
        <v>6.5079539782463683E-2</v>
      </c>
      <c r="E60">
        <f t="shared" si="4"/>
        <v>0</v>
      </c>
      <c r="K60">
        <f t="shared" si="5"/>
        <v>0.93492046021753628</v>
      </c>
      <c r="L60">
        <f t="shared" si="6"/>
        <v>-6.7293822598104444E-2</v>
      </c>
      <c r="O60">
        <f t="shared" si="7"/>
        <v>1</v>
      </c>
      <c r="Z60" t="s">
        <v>47</v>
      </c>
      <c r="AA60" t="s">
        <v>48</v>
      </c>
      <c r="AB60">
        <v>180</v>
      </c>
    </row>
    <row r="61" spans="1:28" x14ac:dyDescent="0.25">
      <c r="A61">
        <f t="shared" si="0"/>
        <v>1</v>
      </c>
      <c r="B61">
        <f t="shared" si="1"/>
        <v>190</v>
      </c>
      <c r="C61">
        <f t="shared" si="2"/>
        <v>0</v>
      </c>
      <c r="D61">
        <f t="shared" si="3"/>
        <v>0.16834963438904577</v>
      </c>
      <c r="E61">
        <f t="shared" si="4"/>
        <v>0</v>
      </c>
      <c r="K61">
        <f t="shared" si="5"/>
        <v>0.83165036561095418</v>
      </c>
      <c r="L61">
        <f t="shared" si="6"/>
        <v>-0.18434316012450994</v>
      </c>
      <c r="O61">
        <f t="shared" si="7"/>
        <v>1</v>
      </c>
      <c r="Z61" t="s">
        <v>47</v>
      </c>
      <c r="AA61" t="s">
        <v>49</v>
      </c>
      <c r="AB61">
        <v>190</v>
      </c>
    </row>
    <row r="62" spans="1:28" x14ac:dyDescent="0.25">
      <c r="A62">
        <f t="shared" si="0"/>
        <v>-1</v>
      </c>
      <c r="B62">
        <f t="shared" si="1"/>
        <v>145</v>
      </c>
      <c r="C62">
        <f t="shared" si="2"/>
        <v>1</v>
      </c>
      <c r="D62">
        <f t="shared" si="3"/>
        <v>0.16204216405004346</v>
      </c>
      <c r="E62">
        <f t="shared" si="4"/>
        <v>0</v>
      </c>
      <c r="K62">
        <f t="shared" si="5"/>
        <v>0.16204216405004346</v>
      </c>
      <c r="L62">
        <f t="shared" si="6"/>
        <v>-1.8198987057007632</v>
      </c>
      <c r="O62">
        <f t="shared" si="7"/>
        <v>0</v>
      </c>
      <c r="Z62" t="s">
        <v>50</v>
      </c>
      <c r="AA62" t="s">
        <v>48</v>
      </c>
      <c r="AB62">
        <v>145</v>
      </c>
    </row>
    <row r="63" spans="1:28" x14ac:dyDescent="0.25">
      <c r="A63">
        <f t="shared" si="0"/>
        <v>1</v>
      </c>
      <c r="B63">
        <f t="shared" si="1"/>
        <v>150</v>
      </c>
      <c r="C63">
        <f t="shared" si="2"/>
        <v>1</v>
      </c>
      <c r="D63">
        <f t="shared" si="3"/>
        <v>0.36017439566677256</v>
      </c>
      <c r="E63">
        <f t="shared" si="4"/>
        <v>0</v>
      </c>
      <c r="K63">
        <f t="shared" si="5"/>
        <v>0.36017439566677256</v>
      </c>
      <c r="L63">
        <f t="shared" si="6"/>
        <v>-1.0211669324237778</v>
      </c>
      <c r="O63">
        <f t="shared" si="7"/>
        <v>0</v>
      </c>
      <c r="Z63" t="s">
        <v>50</v>
      </c>
      <c r="AA63" t="s">
        <v>49</v>
      </c>
      <c r="AB63">
        <v>150</v>
      </c>
    </row>
    <row r="64" spans="1:28" x14ac:dyDescent="0.25">
      <c r="A64">
        <f t="shared" si="0"/>
        <v>1</v>
      </c>
      <c r="B64">
        <f t="shared" si="1"/>
        <v>164</v>
      </c>
      <c r="C64">
        <f t="shared" si="2"/>
        <v>0</v>
      </c>
      <c r="D64">
        <f t="shared" si="3"/>
        <v>0.28469745873449354</v>
      </c>
      <c r="E64">
        <f t="shared" si="4"/>
        <v>0</v>
      </c>
      <c r="K64">
        <f t="shared" si="5"/>
        <v>0.71530254126550652</v>
      </c>
      <c r="L64">
        <f t="shared" si="6"/>
        <v>-0.33504969114727279</v>
      </c>
      <c r="O64">
        <f t="shared" si="7"/>
        <v>1</v>
      </c>
      <c r="Z64" t="s">
        <v>47</v>
      </c>
      <c r="AA64" t="s">
        <v>49</v>
      </c>
      <c r="AB64">
        <v>164</v>
      </c>
    </row>
    <row r="65" spans="1:28" x14ac:dyDescent="0.25">
      <c r="A65">
        <f t="shared" si="0"/>
        <v>-1</v>
      </c>
      <c r="B65">
        <f t="shared" si="1"/>
        <v>140</v>
      </c>
      <c r="C65">
        <f t="shared" si="2"/>
        <v>0</v>
      </c>
      <c r="D65">
        <f t="shared" si="3"/>
        <v>0.18121090277569193</v>
      </c>
      <c r="E65">
        <f t="shared" si="4"/>
        <v>0</v>
      </c>
      <c r="K65">
        <f t="shared" si="5"/>
        <v>0.81878909722430804</v>
      </c>
      <c r="L65">
        <f t="shared" si="6"/>
        <v>-0.19992874083774911</v>
      </c>
      <c r="O65">
        <f t="shared" si="7"/>
        <v>1</v>
      </c>
      <c r="Z65" t="s">
        <v>47</v>
      </c>
      <c r="AA65" t="s">
        <v>48</v>
      </c>
      <c r="AB65">
        <v>140</v>
      </c>
    </row>
    <row r="66" spans="1:28" x14ac:dyDescent="0.25">
      <c r="A66">
        <f t="shared" si="0"/>
        <v>-1</v>
      </c>
      <c r="B66">
        <f t="shared" si="1"/>
        <v>142</v>
      </c>
      <c r="C66">
        <f t="shared" si="2"/>
        <v>0</v>
      </c>
      <c r="D66">
        <f t="shared" si="3"/>
        <v>0.17337912745726652</v>
      </c>
      <c r="E66">
        <f t="shared" si="4"/>
        <v>0</v>
      </c>
      <c r="K66">
        <f t="shared" si="5"/>
        <v>0.82662087254273353</v>
      </c>
      <c r="L66">
        <f t="shared" si="6"/>
        <v>-0.19040912614330152</v>
      </c>
      <c r="O66">
        <f t="shared" si="7"/>
        <v>1</v>
      </c>
      <c r="Z66" t="s">
        <v>47</v>
      </c>
      <c r="AA66" t="s">
        <v>48</v>
      </c>
      <c r="AB66">
        <v>142</v>
      </c>
    </row>
    <row r="67" spans="1:28" x14ac:dyDescent="0.25">
      <c r="A67">
        <f t="shared" ref="A67:A93" si="8">IF(AA67="Sim",1,-1)</f>
        <v>-1</v>
      </c>
      <c r="B67">
        <f t="shared" ref="B67:B93" si="9">AB67</f>
        <v>136</v>
      </c>
      <c r="C67">
        <f t="shared" ref="C67:C93" si="10">IF(Z67="Baixo",0,1)</f>
        <v>1</v>
      </c>
      <c r="D67">
        <f t="shared" ref="D67:D93" si="11">_xlfn.NORM.S.DIST(-$G$2-$H$2*A67-$I$2*B67,1)</f>
        <v>0.19752675064161609</v>
      </c>
      <c r="E67">
        <f t="shared" ref="E67:E93" si="12">IF(D67&gt;=0.5,1,0)</f>
        <v>0</v>
      </c>
      <c r="K67">
        <f t="shared" ref="K67:K93" si="13">IF(C67=1,_xlfn.NORM.S.DIST(-$G$2-$H$2*A67-$I$2*B67,1),1-_xlfn.NORM.S.DIST(-$G$2-$H$2*A67-$I$2*B67,1))</f>
        <v>0.19752675064161609</v>
      </c>
      <c r="L67">
        <f t="shared" ref="L67:L93" si="14">LN(K67)</f>
        <v>-1.6218812575263168</v>
      </c>
      <c r="O67">
        <f t="shared" ref="O67:O93" si="15">IF(ABS(C67-E67)=0,1,0)</f>
        <v>0</v>
      </c>
      <c r="Z67" t="s">
        <v>50</v>
      </c>
      <c r="AA67" t="s">
        <v>48</v>
      </c>
      <c r="AB67">
        <v>136</v>
      </c>
    </row>
    <row r="68" spans="1:28" x14ac:dyDescent="0.25">
      <c r="A68">
        <f t="shared" si="8"/>
        <v>-1</v>
      </c>
      <c r="B68">
        <f t="shared" si="9"/>
        <v>123</v>
      </c>
      <c r="C68">
        <f t="shared" si="10"/>
        <v>0</v>
      </c>
      <c r="D68">
        <f t="shared" si="11"/>
        <v>0.25636063985839563</v>
      </c>
      <c r="E68">
        <f t="shared" si="12"/>
        <v>0</v>
      </c>
      <c r="K68">
        <f t="shared" si="13"/>
        <v>0.74363936014160437</v>
      </c>
      <c r="L68">
        <f t="shared" si="14"/>
        <v>-0.29619909266155858</v>
      </c>
      <c r="O68">
        <f t="shared" si="15"/>
        <v>1</v>
      </c>
      <c r="Z68" t="s">
        <v>47</v>
      </c>
      <c r="AA68" t="s">
        <v>48</v>
      </c>
      <c r="AB68">
        <v>123</v>
      </c>
    </row>
    <row r="69" spans="1:28" x14ac:dyDescent="0.25">
      <c r="A69">
        <f t="shared" si="8"/>
        <v>-1</v>
      </c>
      <c r="B69">
        <f t="shared" si="9"/>
        <v>155</v>
      </c>
      <c r="C69">
        <f t="shared" si="10"/>
        <v>0</v>
      </c>
      <c r="D69">
        <f t="shared" si="11"/>
        <v>0.12781552605676627</v>
      </c>
      <c r="E69">
        <f t="shared" si="12"/>
        <v>0</v>
      </c>
      <c r="K69">
        <f t="shared" si="13"/>
        <v>0.87218447394323373</v>
      </c>
      <c r="L69">
        <f t="shared" si="14"/>
        <v>-0.13675432476007704</v>
      </c>
      <c r="O69">
        <f t="shared" si="15"/>
        <v>1</v>
      </c>
      <c r="Z69" t="s">
        <v>47</v>
      </c>
      <c r="AA69" t="s">
        <v>48</v>
      </c>
      <c r="AB69">
        <v>155</v>
      </c>
    </row>
    <row r="70" spans="1:28" x14ac:dyDescent="0.25">
      <c r="A70">
        <f t="shared" si="8"/>
        <v>-1</v>
      </c>
      <c r="B70">
        <f t="shared" si="9"/>
        <v>130</v>
      </c>
      <c r="C70">
        <f t="shared" si="10"/>
        <v>1</v>
      </c>
      <c r="D70">
        <f t="shared" si="11"/>
        <v>0.22360297391097836</v>
      </c>
      <c r="E70">
        <f t="shared" si="12"/>
        <v>0</v>
      </c>
      <c r="K70">
        <f t="shared" si="13"/>
        <v>0.22360297391097836</v>
      </c>
      <c r="L70">
        <f t="shared" si="14"/>
        <v>-1.4978832376510953</v>
      </c>
      <c r="O70">
        <f t="shared" si="15"/>
        <v>0</v>
      </c>
      <c r="Z70" t="s">
        <v>50</v>
      </c>
      <c r="AA70" t="s">
        <v>48</v>
      </c>
      <c r="AB70">
        <v>130</v>
      </c>
    </row>
    <row r="71" spans="1:28" x14ac:dyDescent="0.25">
      <c r="A71">
        <f t="shared" si="8"/>
        <v>-1</v>
      </c>
      <c r="B71">
        <f t="shared" si="9"/>
        <v>120</v>
      </c>
      <c r="C71">
        <f t="shared" si="10"/>
        <v>0</v>
      </c>
      <c r="D71">
        <f t="shared" si="11"/>
        <v>0.27112878429347909</v>
      </c>
      <c r="E71">
        <f t="shared" si="12"/>
        <v>0</v>
      </c>
      <c r="K71">
        <f t="shared" si="13"/>
        <v>0.72887121570652091</v>
      </c>
      <c r="L71">
        <f t="shared" si="14"/>
        <v>-0.31625822141828114</v>
      </c>
      <c r="O71">
        <f t="shared" si="15"/>
        <v>1</v>
      </c>
      <c r="Z71" t="s">
        <v>47</v>
      </c>
      <c r="AA71" t="s">
        <v>48</v>
      </c>
      <c r="AB71">
        <v>120</v>
      </c>
    </row>
    <row r="72" spans="1:28" x14ac:dyDescent="0.25">
      <c r="A72">
        <f t="shared" si="8"/>
        <v>-1</v>
      </c>
      <c r="B72">
        <f t="shared" si="9"/>
        <v>130</v>
      </c>
      <c r="C72">
        <f t="shared" si="10"/>
        <v>0</v>
      </c>
      <c r="D72">
        <f t="shared" si="11"/>
        <v>0.22360297391097836</v>
      </c>
      <c r="E72">
        <f t="shared" si="12"/>
        <v>0</v>
      </c>
      <c r="K72">
        <f t="shared" si="13"/>
        <v>0.77639702608902161</v>
      </c>
      <c r="L72">
        <f t="shared" si="14"/>
        <v>-0.25309125807970073</v>
      </c>
      <c r="O72">
        <f t="shared" si="15"/>
        <v>1</v>
      </c>
      <c r="Z72" t="s">
        <v>47</v>
      </c>
      <c r="AA72" t="s">
        <v>48</v>
      </c>
      <c r="AB72">
        <v>130</v>
      </c>
    </row>
    <row r="73" spans="1:28" x14ac:dyDescent="0.25">
      <c r="A73">
        <f t="shared" si="8"/>
        <v>1</v>
      </c>
      <c r="B73">
        <f t="shared" si="9"/>
        <v>131</v>
      </c>
      <c r="C73">
        <f t="shared" si="10"/>
        <v>1</v>
      </c>
      <c r="D73">
        <f t="shared" si="11"/>
        <v>0.47141907462879817</v>
      </c>
      <c r="E73">
        <f t="shared" si="12"/>
        <v>0</v>
      </c>
      <c r="K73">
        <f t="shared" si="13"/>
        <v>0.47141907462879817</v>
      </c>
      <c r="L73">
        <f t="shared" si="14"/>
        <v>-0.75200782551257828</v>
      </c>
      <c r="O73">
        <f t="shared" si="15"/>
        <v>0</v>
      </c>
      <c r="Z73" t="s">
        <v>50</v>
      </c>
      <c r="AA73" t="s">
        <v>49</v>
      </c>
      <c r="AB73">
        <v>131</v>
      </c>
    </row>
    <row r="74" spans="1:28" x14ac:dyDescent="0.25">
      <c r="A74">
        <f t="shared" si="8"/>
        <v>-1</v>
      </c>
      <c r="B74">
        <f t="shared" si="9"/>
        <v>120</v>
      </c>
      <c r="C74">
        <f t="shared" si="10"/>
        <v>0</v>
      </c>
      <c r="D74">
        <f t="shared" si="11"/>
        <v>0.27112878429347909</v>
      </c>
      <c r="E74">
        <f t="shared" si="12"/>
        <v>0</v>
      </c>
      <c r="K74">
        <f t="shared" si="13"/>
        <v>0.72887121570652091</v>
      </c>
      <c r="L74">
        <f t="shared" si="14"/>
        <v>-0.31625822141828114</v>
      </c>
      <c r="O74">
        <f t="shared" si="15"/>
        <v>1</v>
      </c>
      <c r="Z74" t="s">
        <v>47</v>
      </c>
      <c r="AA74" t="s">
        <v>48</v>
      </c>
      <c r="AB74">
        <v>120</v>
      </c>
    </row>
    <row r="75" spans="1:28" x14ac:dyDescent="0.25">
      <c r="A75">
        <f t="shared" si="8"/>
        <v>-1</v>
      </c>
      <c r="B75">
        <f t="shared" si="9"/>
        <v>118</v>
      </c>
      <c r="C75">
        <f t="shared" si="10"/>
        <v>0</v>
      </c>
      <c r="D75">
        <f t="shared" si="11"/>
        <v>0.28120453795000788</v>
      </c>
      <c r="E75">
        <f t="shared" si="12"/>
        <v>0</v>
      </c>
      <c r="K75">
        <f t="shared" si="13"/>
        <v>0.71879546204999212</v>
      </c>
      <c r="L75">
        <f t="shared" si="14"/>
        <v>-0.33017843732305652</v>
      </c>
      <c r="O75">
        <f t="shared" si="15"/>
        <v>1</v>
      </c>
      <c r="Z75" t="s">
        <v>47</v>
      </c>
      <c r="AA75" t="s">
        <v>48</v>
      </c>
      <c r="AB75">
        <v>118</v>
      </c>
    </row>
    <row r="76" spans="1:28" x14ac:dyDescent="0.25">
      <c r="A76">
        <f t="shared" si="8"/>
        <v>-1</v>
      </c>
      <c r="B76">
        <f t="shared" si="9"/>
        <v>125</v>
      </c>
      <c r="C76">
        <f t="shared" si="10"/>
        <v>0</v>
      </c>
      <c r="D76">
        <f t="shared" si="11"/>
        <v>0.24675336406426529</v>
      </c>
      <c r="E76">
        <f t="shared" si="12"/>
        <v>0</v>
      </c>
      <c r="K76">
        <f t="shared" si="13"/>
        <v>0.75324663593573471</v>
      </c>
      <c r="L76">
        <f t="shared" si="14"/>
        <v>-0.28336256704776674</v>
      </c>
      <c r="O76">
        <f t="shared" si="15"/>
        <v>1</v>
      </c>
      <c r="Z76" t="s">
        <v>47</v>
      </c>
      <c r="AA76" t="s">
        <v>48</v>
      </c>
      <c r="AB76">
        <v>125</v>
      </c>
    </row>
    <row r="77" spans="1:28" x14ac:dyDescent="0.25">
      <c r="A77">
        <f t="shared" si="8"/>
        <v>1</v>
      </c>
      <c r="B77">
        <f t="shared" si="9"/>
        <v>135</v>
      </c>
      <c r="C77">
        <f t="shared" si="10"/>
        <v>1</v>
      </c>
      <c r="D77">
        <f t="shared" si="11"/>
        <v>0.44750217923254321</v>
      </c>
      <c r="E77">
        <f t="shared" si="12"/>
        <v>0</v>
      </c>
      <c r="K77">
        <f t="shared" si="13"/>
        <v>0.44750217923254321</v>
      </c>
      <c r="L77">
        <f t="shared" si="14"/>
        <v>-0.80407387148569176</v>
      </c>
      <c r="O77">
        <f t="shared" si="15"/>
        <v>0</v>
      </c>
      <c r="Z77" t="s">
        <v>50</v>
      </c>
      <c r="AA77" t="s">
        <v>49</v>
      </c>
      <c r="AB77">
        <v>135</v>
      </c>
    </row>
    <row r="78" spans="1:28" x14ac:dyDescent="0.25">
      <c r="A78">
        <f t="shared" si="8"/>
        <v>-1</v>
      </c>
      <c r="B78">
        <f t="shared" si="9"/>
        <v>125</v>
      </c>
      <c r="C78">
        <f t="shared" si="10"/>
        <v>0</v>
      </c>
      <c r="D78">
        <f t="shared" si="11"/>
        <v>0.24675336406426529</v>
      </c>
      <c r="E78">
        <f t="shared" si="12"/>
        <v>0</v>
      </c>
      <c r="K78">
        <f t="shared" si="13"/>
        <v>0.75324663593573471</v>
      </c>
      <c r="L78">
        <f t="shared" si="14"/>
        <v>-0.28336256704776674</v>
      </c>
      <c r="O78">
        <f t="shared" si="15"/>
        <v>1</v>
      </c>
      <c r="Z78" t="s">
        <v>47</v>
      </c>
      <c r="AA78" t="s">
        <v>48</v>
      </c>
      <c r="AB78">
        <v>125</v>
      </c>
    </row>
    <row r="79" spans="1:28" x14ac:dyDescent="0.25">
      <c r="A79">
        <f t="shared" si="8"/>
        <v>-1</v>
      </c>
      <c r="B79">
        <f t="shared" si="9"/>
        <v>118</v>
      </c>
      <c r="C79">
        <f t="shared" si="10"/>
        <v>1</v>
      </c>
      <c r="D79">
        <f t="shared" si="11"/>
        <v>0.28120453795000788</v>
      </c>
      <c r="E79">
        <f t="shared" si="12"/>
        <v>0</v>
      </c>
      <c r="K79">
        <f t="shared" si="13"/>
        <v>0.28120453795000788</v>
      </c>
      <c r="L79">
        <f t="shared" si="14"/>
        <v>-1.2686729813735362</v>
      </c>
      <c r="O79">
        <f t="shared" si="15"/>
        <v>0</v>
      </c>
      <c r="Z79" t="s">
        <v>50</v>
      </c>
      <c r="AA79" t="s">
        <v>48</v>
      </c>
      <c r="AB79">
        <v>118</v>
      </c>
    </row>
    <row r="80" spans="1:28" x14ac:dyDescent="0.25">
      <c r="A80">
        <f t="shared" si="8"/>
        <v>-1</v>
      </c>
      <c r="B80">
        <f t="shared" si="9"/>
        <v>122</v>
      </c>
      <c r="C80">
        <f t="shared" si="10"/>
        <v>0</v>
      </c>
      <c r="D80">
        <f t="shared" si="11"/>
        <v>0.26123636734319089</v>
      </c>
      <c r="E80">
        <f t="shared" si="12"/>
        <v>0</v>
      </c>
      <c r="K80">
        <f t="shared" si="13"/>
        <v>0.73876363265680911</v>
      </c>
      <c r="L80">
        <f t="shared" si="14"/>
        <v>-0.30277725675113631</v>
      </c>
      <c r="O80">
        <f t="shared" si="15"/>
        <v>1</v>
      </c>
      <c r="Z80" t="s">
        <v>47</v>
      </c>
      <c r="AA80" t="s">
        <v>48</v>
      </c>
      <c r="AB80">
        <v>122</v>
      </c>
    </row>
    <row r="81" spans="1:28" x14ac:dyDescent="0.25">
      <c r="A81">
        <f t="shared" si="8"/>
        <v>-1</v>
      </c>
      <c r="B81">
        <f t="shared" si="9"/>
        <v>115</v>
      </c>
      <c r="C81">
        <f t="shared" si="10"/>
        <v>0</v>
      </c>
      <c r="D81">
        <f t="shared" si="11"/>
        <v>0.29664886309795369</v>
      </c>
      <c r="E81">
        <f t="shared" si="12"/>
        <v>0</v>
      </c>
      <c r="K81">
        <f t="shared" si="13"/>
        <v>0.70335113690204631</v>
      </c>
      <c r="L81">
        <f t="shared" si="14"/>
        <v>-0.35189902836963494</v>
      </c>
      <c r="O81">
        <f t="shared" si="15"/>
        <v>1</v>
      </c>
      <c r="Z81" t="s">
        <v>47</v>
      </c>
      <c r="AA81" t="s">
        <v>48</v>
      </c>
      <c r="AB81">
        <v>115</v>
      </c>
    </row>
    <row r="82" spans="1:28" x14ac:dyDescent="0.25">
      <c r="A82">
        <f t="shared" si="8"/>
        <v>-1</v>
      </c>
      <c r="B82">
        <f t="shared" si="9"/>
        <v>102</v>
      </c>
      <c r="C82">
        <f t="shared" si="10"/>
        <v>0</v>
      </c>
      <c r="D82">
        <f t="shared" si="11"/>
        <v>0.36761339285493821</v>
      </c>
      <c r="E82">
        <f t="shared" si="12"/>
        <v>0</v>
      </c>
      <c r="K82">
        <f t="shared" si="13"/>
        <v>0.63238660714506179</v>
      </c>
      <c r="L82">
        <f t="shared" si="14"/>
        <v>-0.45825435169355627</v>
      </c>
      <c r="O82">
        <f t="shared" si="15"/>
        <v>1</v>
      </c>
      <c r="Z82" t="s">
        <v>47</v>
      </c>
      <c r="AA82" t="s">
        <v>48</v>
      </c>
      <c r="AB82">
        <v>102</v>
      </c>
    </row>
    <row r="83" spans="1:28" x14ac:dyDescent="0.25">
      <c r="A83">
        <f t="shared" si="8"/>
        <v>-1</v>
      </c>
      <c r="B83">
        <f t="shared" si="9"/>
        <v>115</v>
      </c>
      <c r="C83">
        <f t="shared" si="10"/>
        <v>0</v>
      </c>
      <c r="D83">
        <f t="shared" si="11"/>
        <v>0.29664886309795369</v>
      </c>
      <c r="E83">
        <f t="shared" si="12"/>
        <v>0</v>
      </c>
      <c r="K83">
        <f t="shared" si="13"/>
        <v>0.70335113690204631</v>
      </c>
      <c r="L83">
        <f t="shared" si="14"/>
        <v>-0.35189902836963494</v>
      </c>
      <c r="O83">
        <f t="shared" si="15"/>
        <v>1</v>
      </c>
      <c r="Z83" t="s">
        <v>47</v>
      </c>
      <c r="AA83" t="s">
        <v>48</v>
      </c>
      <c r="AB83">
        <v>115</v>
      </c>
    </row>
    <row r="84" spans="1:28" x14ac:dyDescent="0.25">
      <c r="A84">
        <f t="shared" si="8"/>
        <v>-1</v>
      </c>
      <c r="B84">
        <f t="shared" si="9"/>
        <v>150</v>
      </c>
      <c r="C84">
        <f t="shared" si="10"/>
        <v>0</v>
      </c>
      <c r="D84">
        <f t="shared" si="11"/>
        <v>0.14424527264861667</v>
      </c>
      <c r="E84">
        <f t="shared" si="12"/>
        <v>0</v>
      </c>
      <c r="K84">
        <f t="shared" si="13"/>
        <v>0.85575472735138336</v>
      </c>
      <c r="L84">
        <f t="shared" si="14"/>
        <v>-0.15577147736696248</v>
      </c>
      <c r="O84">
        <f t="shared" si="15"/>
        <v>1</v>
      </c>
      <c r="Z84" t="s">
        <v>47</v>
      </c>
      <c r="AA84" t="s">
        <v>48</v>
      </c>
      <c r="AB84">
        <v>150</v>
      </c>
    </row>
    <row r="85" spans="1:28" x14ac:dyDescent="0.25">
      <c r="A85">
        <f t="shared" si="8"/>
        <v>-1</v>
      </c>
      <c r="B85">
        <f t="shared" si="9"/>
        <v>110</v>
      </c>
      <c r="C85">
        <f t="shared" si="10"/>
        <v>0</v>
      </c>
      <c r="D85">
        <f t="shared" si="11"/>
        <v>0.32321619938976304</v>
      </c>
      <c r="E85">
        <f t="shared" si="12"/>
        <v>0</v>
      </c>
      <c r="K85">
        <f t="shared" si="13"/>
        <v>0.67678380061023691</v>
      </c>
      <c r="L85">
        <f t="shared" si="14"/>
        <v>-0.39040340624513914</v>
      </c>
      <c r="O85">
        <f t="shared" si="15"/>
        <v>1</v>
      </c>
      <c r="Z85" t="s">
        <v>47</v>
      </c>
      <c r="AA85" t="s">
        <v>48</v>
      </c>
      <c r="AB85">
        <v>110</v>
      </c>
    </row>
    <row r="86" spans="1:28" x14ac:dyDescent="0.25">
      <c r="A86">
        <f t="shared" si="8"/>
        <v>-1</v>
      </c>
      <c r="B86">
        <f t="shared" si="9"/>
        <v>116</v>
      </c>
      <c r="C86">
        <f t="shared" si="10"/>
        <v>1</v>
      </c>
      <c r="D86">
        <f t="shared" si="11"/>
        <v>0.29145771102719498</v>
      </c>
      <c r="E86">
        <f t="shared" si="12"/>
        <v>0</v>
      </c>
      <c r="K86">
        <f t="shared" si="13"/>
        <v>0.29145771102719498</v>
      </c>
      <c r="L86">
        <f t="shared" si="14"/>
        <v>-1.2328603573789307</v>
      </c>
      <c r="O86">
        <f t="shared" si="15"/>
        <v>0</v>
      </c>
      <c r="Z86" t="s">
        <v>50</v>
      </c>
      <c r="AA86" t="s">
        <v>48</v>
      </c>
      <c r="AB86">
        <v>116</v>
      </c>
    </row>
    <row r="87" spans="1:28" x14ac:dyDescent="0.25">
      <c r="A87">
        <f t="shared" si="8"/>
        <v>1</v>
      </c>
      <c r="B87">
        <f t="shared" si="9"/>
        <v>108</v>
      </c>
      <c r="C87">
        <f t="shared" si="10"/>
        <v>0</v>
      </c>
      <c r="D87">
        <f t="shared" si="11"/>
        <v>0.60828727837726937</v>
      </c>
      <c r="E87">
        <f t="shared" si="12"/>
        <v>1</v>
      </c>
      <c r="K87">
        <f t="shared" si="13"/>
        <v>0.39171272162273063</v>
      </c>
      <c r="L87">
        <f t="shared" si="14"/>
        <v>-0.93722656086294565</v>
      </c>
      <c r="O87">
        <f t="shared" si="15"/>
        <v>0</v>
      </c>
      <c r="Z87" t="s">
        <v>47</v>
      </c>
      <c r="AA87" t="s">
        <v>49</v>
      </c>
      <c r="AB87">
        <v>108</v>
      </c>
    </row>
    <row r="88" spans="1:28" x14ac:dyDescent="0.25">
      <c r="A88">
        <f t="shared" si="8"/>
        <v>-1</v>
      </c>
      <c r="B88">
        <f t="shared" si="9"/>
        <v>95</v>
      </c>
      <c r="C88">
        <f t="shared" si="10"/>
        <v>1</v>
      </c>
      <c r="D88">
        <f t="shared" si="11"/>
        <v>0.40799488609124218</v>
      </c>
      <c r="E88">
        <f t="shared" si="12"/>
        <v>0</v>
      </c>
      <c r="K88">
        <f t="shared" si="13"/>
        <v>0.40799488609124218</v>
      </c>
      <c r="L88">
        <f t="shared" si="14"/>
        <v>-0.89650063874662045</v>
      </c>
      <c r="O88">
        <f t="shared" si="15"/>
        <v>0</v>
      </c>
      <c r="Z88" t="s">
        <v>50</v>
      </c>
      <c r="AA88" t="s">
        <v>48</v>
      </c>
      <c r="AB88">
        <v>95</v>
      </c>
    </row>
    <row r="89" spans="1:28" x14ac:dyDescent="0.25">
      <c r="A89">
        <f t="shared" si="8"/>
        <v>1</v>
      </c>
      <c r="B89">
        <f t="shared" si="9"/>
        <v>125</v>
      </c>
      <c r="C89">
        <f t="shared" si="10"/>
        <v>1</v>
      </c>
      <c r="D89">
        <f t="shared" si="11"/>
        <v>0.50746140930295391</v>
      </c>
      <c r="E89">
        <f t="shared" si="12"/>
        <v>1</v>
      </c>
      <c r="K89">
        <f t="shared" si="13"/>
        <v>0.50746140930295391</v>
      </c>
      <c r="L89">
        <f t="shared" si="14"/>
        <v>-0.67833461173979837</v>
      </c>
      <c r="O89">
        <f t="shared" si="15"/>
        <v>1</v>
      </c>
      <c r="Z89" t="s">
        <v>50</v>
      </c>
      <c r="AA89" t="s">
        <v>49</v>
      </c>
      <c r="AB89">
        <v>125</v>
      </c>
    </row>
    <row r="90" spans="1:28" x14ac:dyDescent="0.25">
      <c r="A90">
        <f t="shared" si="8"/>
        <v>-1</v>
      </c>
      <c r="B90">
        <f t="shared" si="9"/>
        <v>133</v>
      </c>
      <c r="C90">
        <f t="shared" si="10"/>
        <v>0</v>
      </c>
      <c r="D90">
        <f t="shared" si="11"/>
        <v>0.21032762357930548</v>
      </c>
      <c r="E90">
        <f t="shared" si="12"/>
        <v>0</v>
      </c>
      <c r="K90">
        <f t="shared" si="13"/>
        <v>0.78967237642069454</v>
      </c>
      <c r="L90">
        <f t="shared" si="14"/>
        <v>-0.23613713292997685</v>
      </c>
      <c r="O90">
        <f t="shared" si="15"/>
        <v>1</v>
      </c>
      <c r="Z90" t="s">
        <v>47</v>
      </c>
      <c r="AA90" t="s">
        <v>48</v>
      </c>
      <c r="AB90">
        <v>133</v>
      </c>
    </row>
    <row r="91" spans="1:28" x14ac:dyDescent="0.25">
      <c r="A91">
        <f t="shared" si="8"/>
        <v>-1</v>
      </c>
      <c r="B91">
        <f t="shared" si="9"/>
        <v>110</v>
      </c>
      <c r="C91">
        <f t="shared" si="10"/>
        <v>0</v>
      </c>
      <c r="D91">
        <f t="shared" si="11"/>
        <v>0.32321619938976304</v>
      </c>
      <c r="E91">
        <f t="shared" si="12"/>
        <v>0</v>
      </c>
      <c r="K91">
        <f t="shared" si="13"/>
        <v>0.67678380061023691</v>
      </c>
      <c r="L91">
        <f t="shared" si="14"/>
        <v>-0.39040340624513914</v>
      </c>
      <c r="O91">
        <f t="shared" si="15"/>
        <v>1</v>
      </c>
      <c r="Z91" t="s">
        <v>47</v>
      </c>
      <c r="AA91" t="s">
        <v>48</v>
      </c>
      <c r="AB91">
        <v>110</v>
      </c>
    </row>
    <row r="92" spans="1:28" x14ac:dyDescent="0.25">
      <c r="A92">
        <f t="shared" si="8"/>
        <v>-1</v>
      </c>
      <c r="B92">
        <f t="shared" si="9"/>
        <v>150</v>
      </c>
      <c r="C92">
        <f t="shared" si="10"/>
        <v>1</v>
      </c>
      <c r="D92">
        <f t="shared" si="11"/>
        <v>0.14424527264861667</v>
      </c>
      <c r="E92">
        <f t="shared" si="12"/>
        <v>0</v>
      </c>
      <c r="K92">
        <f t="shared" si="13"/>
        <v>0.14424527264861667</v>
      </c>
      <c r="L92">
        <f t="shared" si="14"/>
        <v>-1.9362401460642731</v>
      </c>
      <c r="O92">
        <f t="shared" si="15"/>
        <v>0</v>
      </c>
      <c r="Z92" t="s">
        <v>50</v>
      </c>
      <c r="AA92" t="s">
        <v>48</v>
      </c>
      <c r="AB92">
        <v>150</v>
      </c>
    </row>
    <row r="93" spans="1:28" x14ac:dyDescent="0.25">
      <c r="A93">
        <f t="shared" si="8"/>
        <v>-1</v>
      </c>
      <c r="B93">
        <f t="shared" si="9"/>
        <v>108</v>
      </c>
      <c r="C93">
        <f t="shared" si="10"/>
        <v>0</v>
      </c>
      <c r="D93">
        <f t="shared" si="11"/>
        <v>0.334111456328613</v>
      </c>
      <c r="E93">
        <f t="shared" si="12"/>
        <v>0</v>
      </c>
      <c r="K93">
        <f t="shared" si="13"/>
        <v>0.66588854367138706</v>
      </c>
      <c r="L93">
        <f t="shared" si="14"/>
        <v>-0.40663297429139461</v>
      </c>
      <c r="O93">
        <f t="shared" si="15"/>
        <v>1</v>
      </c>
      <c r="Z93" t="s">
        <v>47</v>
      </c>
      <c r="AA93" t="s">
        <v>48</v>
      </c>
      <c r="AB93">
        <v>108</v>
      </c>
    </row>
  </sheetData>
  <mergeCells count="3">
    <mergeCell ref="P1:Q1"/>
    <mergeCell ref="T1:X8"/>
    <mergeCell ref="P4:Q4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B93"/>
  <sheetViews>
    <sheetView workbookViewId="0">
      <selection activeCell="D5" sqref="D5"/>
    </sheetView>
  </sheetViews>
  <sheetFormatPr defaultRowHeight="15" x14ac:dyDescent="0.25"/>
  <cols>
    <col min="12" max="12" width="12.7109375" bestFit="1" customWidth="1"/>
  </cols>
  <sheetData>
    <row r="1" spans="1:28" x14ac:dyDescent="0.25">
      <c r="A1" t="s">
        <v>46</v>
      </c>
      <c r="B1" t="s">
        <v>11</v>
      </c>
      <c r="C1" t="s">
        <v>52</v>
      </c>
      <c r="D1" t="s">
        <v>54</v>
      </c>
      <c r="E1" t="s">
        <v>53</v>
      </c>
      <c r="G1" s="1" t="s">
        <v>14</v>
      </c>
      <c r="H1" s="1" t="s">
        <v>15</v>
      </c>
      <c r="I1" s="1" t="s">
        <v>16</v>
      </c>
      <c r="K1" t="s">
        <v>17</v>
      </c>
      <c r="L1" t="s">
        <v>19</v>
      </c>
      <c r="M1" t="s">
        <v>43</v>
      </c>
      <c r="O1" t="s">
        <v>21</v>
      </c>
      <c r="P1" s="28" t="s">
        <v>55</v>
      </c>
      <c r="Q1" s="28"/>
      <c r="T1" s="24" t="s">
        <v>44</v>
      </c>
      <c r="U1" s="25"/>
      <c r="V1" s="25"/>
      <c r="W1" s="25"/>
      <c r="X1" s="25"/>
      <c r="Z1" s="1" t="s">
        <v>45</v>
      </c>
      <c r="AA1" s="1" t="s">
        <v>46</v>
      </c>
      <c r="AB1" s="1" t="s">
        <v>51</v>
      </c>
    </row>
    <row r="2" spans="1:28" x14ac:dyDescent="0.25">
      <c r="A2">
        <f>IF(AA2="Sim",1,-1)</f>
        <v>-1</v>
      </c>
      <c r="B2">
        <f>AB2</f>
        <v>140</v>
      </c>
      <c r="C2">
        <f>IF(Z2="Baixo",0,1)</f>
        <v>0</v>
      </c>
      <c r="D2">
        <f>EXP($G$2+$H$2*A2+$I$2*B2)/(1+EXP($G$2+$H$2*A2+$I$2*B2))</f>
        <v>0.18003801365886829</v>
      </c>
      <c r="E2">
        <f>IF(D2&gt;=0.5,1,0)</f>
        <v>0</v>
      </c>
      <c r="G2">
        <v>2.586793234755989</v>
      </c>
      <c r="H2">
        <v>0.5966064138227517</v>
      </c>
      <c r="I2">
        <v>-2.5044834188637892E-2</v>
      </c>
      <c r="K2">
        <f>IF(C2=1,EXP($G$2+$H$2*A2+$I$2*B2)/(1+EXP($G$2+$H$2*A2+$I$2*B2)),1/(1+EXP($G$2+$H$2*A2+$I$2*B2)))</f>
        <v>0.8199619863411316</v>
      </c>
      <c r="L2">
        <f>LN(K2)</f>
        <v>-0.19849729791898035</v>
      </c>
      <c r="M2">
        <f>SUM(L2:L93)</f>
        <v>-46.819821497328668</v>
      </c>
      <c r="O2">
        <f>IF(ABS(C2-E2)=0,1,0)</f>
        <v>1</v>
      </c>
      <c r="P2">
        <v>0</v>
      </c>
      <c r="Q2">
        <v>1</v>
      </c>
      <c r="T2" s="25"/>
      <c r="U2" s="25"/>
      <c r="V2" s="25"/>
      <c r="W2" s="25"/>
      <c r="X2" s="25"/>
      <c r="Z2" t="s">
        <v>47</v>
      </c>
      <c r="AA2" t="s">
        <v>48</v>
      </c>
      <c r="AB2">
        <v>140</v>
      </c>
    </row>
    <row r="3" spans="1:28" x14ac:dyDescent="0.25">
      <c r="A3">
        <f t="shared" ref="A3:A66" si="0">IF(AA3="Sim",1,-1)</f>
        <v>-1</v>
      </c>
      <c r="B3">
        <f t="shared" ref="B3:B66" si="1">AB3</f>
        <v>145</v>
      </c>
      <c r="C3">
        <f t="shared" ref="C3:C66" si="2">IF(Z3="Baixo",0,1)</f>
        <v>0</v>
      </c>
      <c r="D3">
        <f t="shared" ref="D3:D66" si="3">EXP($G$2+$H$2*A3+$I$2*B3)/(1+EXP($G$2+$H$2*A3+$I$2*B3))</f>
        <v>0.16228632712681632</v>
      </c>
      <c r="E3">
        <f t="shared" ref="E3:E66" si="4">IF(D3&gt;=0.5,1,0)</f>
        <v>0</v>
      </c>
      <c r="K3">
        <f t="shared" ref="K3:K66" si="5">IF(C3=1,EXP($G$2+$H$2*A3+$I$2*B3)/(1+EXP($G$2+$H$2*A3+$I$2*B3)),1/(1+EXP($G$2+$H$2*A3+$I$2*B3)))</f>
        <v>0.83771367287318377</v>
      </c>
      <c r="L3">
        <f t="shared" ref="L3:L66" si="6">LN(K3)</f>
        <v>-0.17707891603461962</v>
      </c>
      <c r="O3">
        <f t="shared" ref="O3:O66" si="7">IF(ABS(C3-E3)=0,1,0)</f>
        <v>1</v>
      </c>
      <c r="P3" s="9">
        <f>AVERAGEIFS($O$2:$O$93,$C$2:$C$93,P2)</f>
        <v>0.97142857142857142</v>
      </c>
      <c r="Q3" s="9">
        <f>AVERAGEIFS($O$2:$O$93,$C$2:$C$93,Q2)</f>
        <v>9.0909090909090912E-2</v>
      </c>
      <c r="T3" s="25"/>
      <c r="U3" s="25"/>
      <c r="V3" s="25"/>
      <c r="W3" s="25"/>
      <c r="X3" s="25"/>
      <c r="Z3" t="s">
        <v>47</v>
      </c>
      <c r="AA3" t="s">
        <v>48</v>
      </c>
      <c r="AB3">
        <v>145</v>
      </c>
    </row>
    <row r="4" spans="1:28" x14ac:dyDescent="0.25">
      <c r="A4">
        <f t="shared" si="0"/>
        <v>1</v>
      </c>
      <c r="B4">
        <f t="shared" si="1"/>
        <v>160</v>
      </c>
      <c r="C4">
        <f t="shared" si="2"/>
        <v>0</v>
      </c>
      <c r="D4">
        <f>EXP($G$2+$H$2*A4+$I$2*B4)/(1+EXP($G$2+$H$2*A4+$I$2*B4))</f>
        <v>0.30496317003083356</v>
      </c>
      <c r="E4">
        <f t="shared" si="4"/>
        <v>0</v>
      </c>
      <c r="K4">
        <f t="shared" si="5"/>
        <v>0.69503682996916649</v>
      </c>
      <c r="L4">
        <f t="shared" si="6"/>
        <v>-0.36379044206002104</v>
      </c>
      <c r="O4">
        <f t="shared" si="7"/>
        <v>1</v>
      </c>
      <c r="P4" s="28" t="s">
        <v>29</v>
      </c>
      <c r="Q4" s="28"/>
      <c r="T4" s="25"/>
      <c r="U4" s="25"/>
      <c r="V4" s="25"/>
      <c r="W4" s="25"/>
      <c r="X4" s="25"/>
      <c r="Z4" t="s">
        <v>47</v>
      </c>
      <c r="AA4" t="s">
        <v>49</v>
      </c>
      <c r="AB4">
        <v>160</v>
      </c>
    </row>
    <row r="5" spans="1:28" x14ac:dyDescent="0.25">
      <c r="A5">
        <f t="shared" si="0"/>
        <v>1</v>
      </c>
      <c r="B5">
        <f t="shared" si="1"/>
        <v>190</v>
      </c>
      <c r="C5">
        <f t="shared" si="2"/>
        <v>0</v>
      </c>
      <c r="D5">
        <f t="shared" si="3"/>
        <v>0.17148788352211461</v>
      </c>
      <c r="E5">
        <f t="shared" si="4"/>
        <v>0</v>
      </c>
      <c r="K5">
        <f t="shared" si="5"/>
        <v>0.82851211647788536</v>
      </c>
      <c r="L5">
        <f t="shared" si="6"/>
        <v>-0.18812381762633787</v>
      </c>
      <c r="O5">
        <f t="shared" si="7"/>
        <v>1</v>
      </c>
      <c r="P5">
        <f>COUNTIF($C$2:$C$93,P2)</f>
        <v>70</v>
      </c>
      <c r="Q5">
        <f>COUNTIF($C$2:$C$93,Q2)</f>
        <v>22</v>
      </c>
      <c r="T5" s="25"/>
      <c r="U5" s="25"/>
      <c r="V5" s="25"/>
      <c r="W5" s="25"/>
      <c r="X5" s="25"/>
      <c r="Z5" t="s">
        <v>47</v>
      </c>
      <c r="AA5" t="s">
        <v>49</v>
      </c>
      <c r="AB5">
        <v>190</v>
      </c>
    </row>
    <row r="6" spans="1:28" x14ac:dyDescent="0.25">
      <c r="A6">
        <f t="shared" si="0"/>
        <v>-1</v>
      </c>
      <c r="B6">
        <f t="shared" si="1"/>
        <v>155</v>
      </c>
      <c r="C6">
        <f t="shared" si="2"/>
        <v>0</v>
      </c>
      <c r="D6">
        <f t="shared" si="3"/>
        <v>0.13104364336602131</v>
      </c>
      <c r="E6">
        <f t="shared" si="4"/>
        <v>0</v>
      </c>
      <c r="K6">
        <f t="shared" si="5"/>
        <v>0.86895635663397863</v>
      </c>
      <c r="L6">
        <f t="shared" si="6"/>
        <v>-0.14046237749349746</v>
      </c>
      <c r="O6">
        <f t="shared" si="7"/>
        <v>1</v>
      </c>
      <c r="T6" s="25"/>
      <c r="U6" s="25"/>
      <c r="V6" s="25"/>
      <c r="W6" s="25"/>
      <c r="X6" s="25"/>
      <c r="Z6" t="s">
        <v>47</v>
      </c>
      <c r="AA6" t="s">
        <v>48</v>
      </c>
      <c r="AB6">
        <v>155</v>
      </c>
    </row>
    <row r="7" spans="1:28" x14ac:dyDescent="0.25">
      <c r="A7">
        <f t="shared" si="0"/>
        <v>-1</v>
      </c>
      <c r="B7">
        <f t="shared" si="1"/>
        <v>165</v>
      </c>
      <c r="C7">
        <f t="shared" si="2"/>
        <v>0</v>
      </c>
      <c r="D7">
        <f t="shared" si="3"/>
        <v>0.10506133899962664</v>
      </c>
      <c r="E7">
        <f t="shared" si="4"/>
        <v>0</v>
      </c>
      <c r="K7">
        <f t="shared" si="5"/>
        <v>0.89493866100037345</v>
      </c>
      <c r="L7">
        <f t="shared" si="6"/>
        <v>-0.11100009825103895</v>
      </c>
      <c r="O7">
        <f t="shared" si="7"/>
        <v>1</v>
      </c>
      <c r="P7" s="1" t="s">
        <v>30</v>
      </c>
      <c r="T7" s="25"/>
      <c r="U7" s="25"/>
      <c r="V7" s="25"/>
      <c r="W7" s="25"/>
      <c r="X7" s="25"/>
      <c r="Z7" t="s">
        <v>47</v>
      </c>
      <c r="AA7" t="s">
        <v>48</v>
      </c>
      <c r="AB7">
        <v>165</v>
      </c>
    </row>
    <row r="8" spans="1:28" x14ac:dyDescent="0.25">
      <c r="A8">
        <f t="shared" si="0"/>
        <v>-1</v>
      </c>
      <c r="B8">
        <f t="shared" si="1"/>
        <v>150</v>
      </c>
      <c r="C8">
        <f t="shared" si="2"/>
        <v>1</v>
      </c>
      <c r="D8">
        <f t="shared" si="3"/>
        <v>0.14597335264637382</v>
      </c>
      <c r="E8">
        <f t="shared" si="4"/>
        <v>0</v>
      </c>
      <c r="K8">
        <f t="shared" si="5"/>
        <v>0.14597335264637382</v>
      </c>
      <c r="L8">
        <f t="shared" si="6"/>
        <v>-1.9243311900526221</v>
      </c>
      <c r="O8">
        <f t="shared" si="7"/>
        <v>0</v>
      </c>
      <c r="P8" t="s">
        <v>31</v>
      </c>
      <c r="Q8">
        <v>-46.819819839104909</v>
      </c>
      <c r="T8" s="25"/>
      <c r="U8" s="25"/>
      <c r="V8" s="25"/>
      <c r="W8" s="25"/>
      <c r="X8" s="25"/>
      <c r="Z8" t="s">
        <v>50</v>
      </c>
      <c r="AA8" t="s">
        <v>48</v>
      </c>
      <c r="AB8">
        <v>150</v>
      </c>
    </row>
    <row r="9" spans="1:28" x14ac:dyDescent="0.25">
      <c r="A9">
        <f t="shared" si="0"/>
        <v>-1</v>
      </c>
      <c r="B9">
        <f t="shared" si="1"/>
        <v>190</v>
      </c>
      <c r="C9">
        <f t="shared" si="2"/>
        <v>0</v>
      </c>
      <c r="D9">
        <f t="shared" si="3"/>
        <v>5.9059656809529085E-2</v>
      </c>
      <c r="E9">
        <f t="shared" si="4"/>
        <v>0</v>
      </c>
      <c r="K9">
        <f t="shared" si="5"/>
        <v>0.94094034319047093</v>
      </c>
      <c r="L9">
        <f t="shared" si="6"/>
        <v>-6.0875538653556299E-2</v>
      </c>
      <c r="O9">
        <f t="shared" si="7"/>
        <v>1</v>
      </c>
      <c r="P9" t="s">
        <v>34</v>
      </c>
      <c r="Q9">
        <v>-50.606948171174828</v>
      </c>
      <c r="Z9" t="s">
        <v>47</v>
      </c>
      <c r="AA9" t="s">
        <v>48</v>
      </c>
      <c r="AB9">
        <v>190</v>
      </c>
    </row>
    <row r="10" spans="1:28" x14ac:dyDescent="0.25">
      <c r="A10">
        <f t="shared" si="0"/>
        <v>-1</v>
      </c>
      <c r="B10">
        <f t="shared" si="1"/>
        <v>195</v>
      </c>
      <c r="C10">
        <f t="shared" si="2"/>
        <v>0</v>
      </c>
      <c r="D10">
        <f t="shared" si="3"/>
        <v>5.2473041523256991E-2</v>
      </c>
      <c r="E10">
        <f t="shared" si="4"/>
        <v>0</v>
      </c>
      <c r="K10">
        <f t="shared" si="5"/>
        <v>0.94752695847674295</v>
      </c>
      <c r="L10">
        <f t="shared" si="6"/>
        <v>-5.3899890212113957E-2</v>
      </c>
      <c r="O10">
        <f t="shared" si="7"/>
        <v>1</v>
      </c>
      <c r="P10" t="s">
        <v>32</v>
      </c>
      <c r="Q10">
        <f>2*(Q8-Q9)</f>
        <v>7.5742566641398383</v>
      </c>
      <c r="Z10" t="s">
        <v>47</v>
      </c>
      <c r="AA10" t="s">
        <v>48</v>
      </c>
      <c r="AB10">
        <v>195</v>
      </c>
    </row>
    <row r="11" spans="1:28" x14ac:dyDescent="0.25">
      <c r="A11">
        <f t="shared" si="0"/>
        <v>-1</v>
      </c>
      <c r="B11">
        <f t="shared" si="1"/>
        <v>138</v>
      </c>
      <c r="C11">
        <f t="shared" si="2"/>
        <v>0</v>
      </c>
      <c r="D11">
        <f t="shared" si="3"/>
        <v>0.18755131046234197</v>
      </c>
      <c r="E11">
        <f t="shared" si="4"/>
        <v>0</v>
      </c>
      <c r="K11">
        <f t="shared" si="5"/>
        <v>0.81244868953765803</v>
      </c>
      <c r="L11">
        <f t="shared" si="6"/>
        <v>-0.20770251811064125</v>
      </c>
      <c r="O11">
        <f t="shared" si="7"/>
        <v>1</v>
      </c>
      <c r="P11" t="s">
        <v>33</v>
      </c>
      <c r="Q11">
        <f>1-_xlfn.CHISQ.DIST(Q10,2,1)</f>
        <v>2.266058217261635E-2</v>
      </c>
      <c r="Z11" t="s">
        <v>47</v>
      </c>
      <c r="AA11" t="s">
        <v>48</v>
      </c>
      <c r="AB11">
        <v>138</v>
      </c>
    </row>
    <row r="12" spans="1:28" ht="14.45" x14ac:dyDescent="0.3">
      <c r="A12">
        <f t="shared" si="0"/>
        <v>1</v>
      </c>
      <c r="B12">
        <f t="shared" si="1"/>
        <v>160</v>
      </c>
      <c r="C12">
        <f t="shared" si="2"/>
        <v>1</v>
      </c>
      <c r="D12">
        <f t="shared" si="3"/>
        <v>0.30496317003083356</v>
      </c>
      <c r="E12">
        <f t="shared" si="4"/>
        <v>0</v>
      </c>
      <c r="K12">
        <f t="shared" si="5"/>
        <v>0.30496317003083356</v>
      </c>
      <c r="L12">
        <f t="shared" si="6"/>
        <v>-1.1875642636633434</v>
      </c>
      <c r="O12">
        <f t="shared" si="7"/>
        <v>0</v>
      </c>
      <c r="Z12" t="s">
        <v>50</v>
      </c>
      <c r="AA12" t="s">
        <v>49</v>
      </c>
      <c r="AB12">
        <v>160</v>
      </c>
    </row>
    <row r="13" spans="1:28" x14ac:dyDescent="0.25">
      <c r="A13">
        <f t="shared" si="0"/>
        <v>-1</v>
      </c>
      <c r="B13">
        <f t="shared" si="1"/>
        <v>155</v>
      </c>
      <c r="C13">
        <f t="shared" si="2"/>
        <v>0</v>
      </c>
      <c r="D13">
        <f t="shared" si="3"/>
        <v>0.13104364336602131</v>
      </c>
      <c r="E13">
        <f t="shared" si="4"/>
        <v>0</v>
      </c>
      <c r="K13">
        <f t="shared" si="5"/>
        <v>0.86895635663397863</v>
      </c>
      <c r="L13">
        <f t="shared" si="6"/>
        <v>-0.14046237749349746</v>
      </c>
      <c r="O13">
        <f t="shared" si="7"/>
        <v>1</v>
      </c>
      <c r="P13" s="1" t="s">
        <v>36</v>
      </c>
      <c r="Z13" t="s">
        <v>47</v>
      </c>
      <c r="AA13" t="s">
        <v>48</v>
      </c>
      <c r="AB13">
        <v>155</v>
      </c>
    </row>
    <row r="14" spans="1:28" ht="14.45" x14ac:dyDescent="0.3">
      <c r="A14">
        <f t="shared" si="0"/>
        <v>1</v>
      </c>
      <c r="B14">
        <f t="shared" si="1"/>
        <v>153</v>
      </c>
      <c r="C14">
        <f t="shared" si="2"/>
        <v>1</v>
      </c>
      <c r="D14">
        <f t="shared" si="3"/>
        <v>0.34333666066495466</v>
      </c>
      <c r="E14">
        <f t="shared" si="4"/>
        <v>0</v>
      </c>
      <c r="K14">
        <f t="shared" si="5"/>
        <v>0.34333666066495466</v>
      </c>
      <c r="L14">
        <f t="shared" si="6"/>
        <v>-1.0690437952163758</v>
      </c>
      <c r="O14">
        <f t="shared" si="7"/>
        <v>0</v>
      </c>
      <c r="P14" t="s">
        <v>35</v>
      </c>
      <c r="Q14">
        <v>-49.188459155295497</v>
      </c>
      <c r="Z14" t="s">
        <v>50</v>
      </c>
      <c r="AA14" t="s">
        <v>49</v>
      </c>
      <c r="AB14">
        <v>153</v>
      </c>
    </row>
    <row r="15" spans="1:28" x14ac:dyDescent="0.25">
      <c r="A15">
        <f t="shared" si="0"/>
        <v>-1</v>
      </c>
      <c r="B15">
        <f t="shared" si="1"/>
        <v>145</v>
      </c>
      <c r="C15">
        <f t="shared" si="2"/>
        <v>0</v>
      </c>
      <c r="D15">
        <f t="shared" si="3"/>
        <v>0.16228632712681632</v>
      </c>
      <c r="E15">
        <f t="shared" si="4"/>
        <v>0</v>
      </c>
      <c r="K15">
        <f t="shared" si="5"/>
        <v>0.83771367287318377</v>
      </c>
      <c r="L15">
        <f t="shared" si="6"/>
        <v>-0.17707891603461962</v>
      </c>
      <c r="O15">
        <f t="shared" si="7"/>
        <v>1</v>
      </c>
      <c r="P15" t="s">
        <v>32</v>
      </c>
      <c r="Q15">
        <f>2*(Q8-Q14)</f>
        <v>4.7372786323811766</v>
      </c>
      <c r="Z15" t="s">
        <v>47</v>
      </c>
      <c r="AA15" t="s">
        <v>48</v>
      </c>
      <c r="AB15">
        <v>145</v>
      </c>
    </row>
    <row r="16" spans="1:28" x14ac:dyDescent="0.25">
      <c r="A16">
        <f t="shared" si="0"/>
        <v>-1</v>
      </c>
      <c r="B16">
        <f t="shared" si="1"/>
        <v>170</v>
      </c>
      <c r="C16">
        <f t="shared" si="2"/>
        <v>0</v>
      </c>
      <c r="D16">
        <f t="shared" si="3"/>
        <v>9.3856131812840748E-2</v>
      </c>
      <c r="E16">
        <f t="shared" si="4"/>
        <v>0</v>
      </c>
      <c r="K16">
        <f t="shared" si="5"/>
        <v>0.90614386818715931</v>
      </c>
      <c r="L16">
        <f t="shared" si="6"/>
        <v>-9.8557190637170305E-2</v>
      </c>
      <c r="O16">
        <f t="shared" si="7"/>
        <v>1</v>
      </c>
      <c r="P16" t="s">
        <v>33</v>
      </c>
      <c r="Q16">
        <f>1-_xlfn.CHISQ.DIST(Q15,1,1)</f>
        <v>2.9515725166417761E-2</v>
      </c>
      <c r="Z16" t="s">
        <v>47</v>
      </c>
      <c r="AA16" t="s">
        <v>48</v>
      </c>
      <c r="AB16">
        <v>170</v>
      </c>
    </row>
    <row r="17" spans="1:28" x14ac:dyDescent="0.25">
      <c r="A17">
        <f t="shared" si="0"/>
        <v>-1</v>
      </c>
      <c r="B17">
        <f t="shared" si="1"/>
        <v>175</v>
      </c>
      <c r="C17">
        <f t="shared" si="2"/>
        <v>0</v>
      </c>
      <c r="D17">
        <f t="shared" si="3"/>
        <v>8.3734187646470837E-2</v>
      </c>
      <c r="E17">
        <f t="shared" si="4"/>
        <v>0</v>
      </c>
      <c r="K17">
        <f t="shared" si="5"/>
        <v>0.91626581235352911</v>
      </c>
      <c r="L17">
        <f t="shared" si="6"/>
        <v>-8.7448768245572253E-2</v>
      </c>
      <c r="O17">
        <f t="shared" si="7"/>
        <v>1</v>
      </c>
      <c r="Z17" t="s">
        <v>47</v>
      </c>
      <c r="AA17" t="s">
        <v>48</v>
      </c>
      <c r="AB17">
        <v>175</v>
      </c>
    </row>
    <row r="18" spans="1:28" ht="14.45" x14ac:dyDescent="0.3">
      <c r="A18">
        <f t="shared" si="0"/>
        <v>1</v>
      </c>
      <c r="B18">
        <f t="shared" si="1"/>
        <v>175</v>
      </c>
      <c r="C18">
        <f t="shared" si="2"/>
        <v>0</v>
      </c>
      <c r="D18">
        <f t="shared" si="3"/>
        <v>0.23157372517040445</v>
      </c>
      <c r="E18">
        <f t="shared" si="4"/>
        <v>0</v>
      </c>
      <c r="K18">
        <f t="shared" si="5"/>
        <v>0.76842627482959558</v>
      </c>
      <c r="L18">
        <f t="shared" si="6"/>
        <v>-0.26341065446412493</v>
      </c>
      <c r="O18">
        <f t="shared" si="7"/>
        <v>1</v>
      </c>
      <c r="P18" s="1" t="s">
        <v>56</v>
      </c>
      <c r="Z18" t="s">
        <v>47</v>
      </c>
      <c r="AA18" t="s">
        <v>49</v>
      </c>
      <c r="AB18">
        <v>175</v>
      </c>
    </row>
    <row r="19" spans="1:28" ht="14.45" x14ac:dyDescent="0.3">
      <c r="A19">
        <f t="shared" si="0"/>
        <v>1</v>
      </c>
      <c r="B19">
        <f t="shared" si="1"/>
        <v>170</v>
      </c>
      <c r="C19">
        <f t="shared" si="2"/>
        <v>0</v>
      </c>
      <c r="D19">
        <f t="shared" si="3"/>
        <v>0.2546009749771434</v>
      </c>
      <c r="E19">
        <f t="shared" si="4"/>
        <v>0</v>
      </c>
      <c r="K19">
        <f t="shared" si="5"/>
        <v>0.7453990250228566</v>
      </c>
      <c r="L19">
        <f t="shared" si="6"/>
        <v>-0.29383559992970915</v>
      </c>
      <c r="O19">
        <f t="shared" si="7"/>
        <v>1</v>
      </c>
      <c r="P19" t="s">
        <v>35</v>
      </c>
      <c r="Q19">
        <v>-49.134147884179505</v>
      </c>
      <c r="Z19" t="s">
        <v>47</v>
      </c>
      <c r="AA19" t="s">
        <v>49</v>
      </c>
      <c r="AB19">
        <v>170</v>
      </c>
    </row>
    <row r="20" spans="1:28" ht="14.45" x14ac:dyDescent="0.3">
      <c r="A20">
        <f t="shared" si="0"/>
        <v>1</v>
      </c>
      <c r="B20">
        <f t="shared" si="1"/>
        <v>180</v>
      </c>
      <c r="C20">
        <f t="shared" si="2"/>
        <v>0</v>
      </c>
      <c r="D20">
        <f t="shared" si="3"/>
        <v>0.21004229259026777</v>
      </c>
      <c r="E20">
        <f t="shared" si="4"/>
        <v>0</v>
      </c>
      <c r="K20">
        <f t="shared" si="5"/>
        <v>0.78995770740973215</v>
      </c>
      <c r="L20">
        <f t="shared" si="6"/>
        <v>-0.23577586987850477</v>
      </c>
      <c r="O20">
        <f t="shared" si="7"/>
        <v>1</v>
      </c>
      <c r="P20" t="s">
        <v>32</v>
      </c>
      <c r="Q20">
        <f>2*(Q8-Q19)</f>
        <v>4.6286560901491924</v>
      </c>
      <c r="Z20" t="s">
        <v>47</v>
      </c>
      <c r="AA20" t="s">
        <v>49</v>
      </c>
      <c r="AB20">
        <v>180</v>
      </c>
    </row>
    <row r="21" spans="1:28" x14ac:dyDescent="0.25">
      <c r="A21">
        <f t="shared" si="0"/>
        <v>-1</v>
      </c>
      <c r="B21">
        <f t="shared" si="1"/>
        <v>135</v>
      </c>
      <c r="C21">
        <f t="shared" si="2"/>
        <v>0</v>
      </c>
      <c r="D21">
        <f t="shared" si="3"/>
        <v>0.19926957365457962</v>
      </c>
      <c r="E21">
        <f t="shared" si="4"/>
        <v>0</v>
      </c>
      <c r="K21">
        <f t="shared" si="5"/>
        <v>0.80073042634542035</v>
      </c>
      <c r="L21">
        <f t="shared" si="6"/>
        <v>-0.22223093494346488</v>
      </c>
      <c r="O21">
        <f t="shared" si="7"/>
        <v>1</v>
      </c>
      <c r="P21" t="s">
        <v>33</v>
      </c>
      <c r="Q21">
        <f>1-_xlfn.CHISQ.DIST(Q20,1,1)</f>
        <v>3.1442182944197317E-2</v>
      </c>
      <c r="Z21" t="s">
        <v>47</v>
      </c>
      <c r="AA21" t="s">
        <v>48</v>
      </c>
      <c r="AB21">
        <v>135</v>
      </c>
    </row>
    <row r="22" spans="1:28" x14ac:dyDescent="0.25">
      <c r="A22">
        <f t="shared" si="0"/>
        <v>-1</v>
      </c>
      <c r="B22">
        <f t="shared" si="1"/>
        <v>170</v>
      </c>
      <c r="C22">
        <f t="shared" si="2"/>
        <v>0</v>
      </c>
      <c r="D22">
        <f t="shared" si="3"/>
        <v>9.3856131812840748E-2</v>
      </c>
      <c r="E22">
        <f t="shared" si="4"/>
        <v>0</v>
      </c>
      <c r="K22">
        <f t="shared" si="5"/>
        <v>0.90614386818715931</v>
      </c>
      <c r="L22">
        <f t="shared" si="6"/>
        <v>-9.8557190637170305E-2</v>
      </c>
      <c r="O22">
        <f t="shared" si="7"/>
        <v>1</v>
      </c>
      <c r="Z22" t="s">
        <v>47</v>
      </c>
      <c r="AA22" t="s">
        <v>48</v>
      </c>
      <c r="AB22">
        <v>170</v>
      </c>
    </row>
    <row r="23" spans="1:28" x14ac:dyDescent="0.25">
      <c r="A23">
        <f t="shared" si="0"/>
        <v>-1</v>
      </c>
      <c r="B23">
        <f t="shared" si="1"/>
        <v>157</v>
      </c>
      <c r="C23">
        <f t="shared" si="2"/>
        <v>0</v>
      </c>
      <c r="D23">
        <f t="shared" si="3"/>
        <v>0.12544451984794916</v>
      </c>
      <c r="E23">
        <f t="shared" si="4"/>
        <v>0</v>
      </c>
      <c r="K23">
        <f t="shared" si="5"/>
        <v>0.87455548015205087</v>
      </c>
      <c r="L23">
        <f t="shared" si="6"/>
        <v>-0.13403954439513782</v>
      </c>
      <c r="O23">
        <f t="shared" si="7"/>
        <v>1</v>
      </c>
      <c r="P23" s="1" t="s">
        <v>57</v>
      </c>
      <c r="Q23">
        <f>-2*Q8+2*3</f>
        <v>99.639639678209818</v>
      </c>
      <c r="Z23" t="s">
        <v>47</v>
      </c>
      <c r="AA23" t="s">
        <v>48</v>
      </c>
      <c r="AB23">
        <v>157</v>
      </c>
    </row>
    <row r="24" spans="1:28" x14ac:dyDescent="0.25">
      <c r="A24">
        <f t="shared" si="0"/>
        <v>-1</v>
      </c>
      <c r="B24">
        <f t="shared" si="1"/>
        <v>130</v>
      </c>
      <c r="C24">
        <f t="shared" si="2"/>
        <v>0</v>
      </c>
      <c r="D24">
        <f t="shared" si="3"/>
        <v>0.22000424708508823</v>
      </c>
      <c r="E24">
        <f t="shared" si="4"/>
        <v>0</v>
      </c>
      <c r="K24">
        <f t="shared" si="5"/>
        <v>0.77999575291491186</v>
      </c>
      <c r="L24">
        <f t="shared" si="6"/>
        <v>-0.24846680429420584</v>
      </c>
      <c r="O24">
        <f t="shared" si="7"/>
        <v>1</v>
      </c>
      <c r="Z24" t="s">
        <v>47</v>
      </c>
      <c r="AA24" t="s">
        <v>48</v>
      </c>
      <c r="AB24">
        <v>130</v>
      </c>
    </row>
    <row r="25" spans="1:28" x14ac:dyDescent="0.25">
      <c r="A25">
        <f t="shared" si="0"/>
        <v>1</v>
      </c>
      <c r="B25">
        <f t="shared" si="1"/>
        <v>185</v>
      </c>
      <c r="C25">
        <f t="shared" si="2"/>
        <v>0</v>
      </c>
      <c r="D25">
        <f t="shared" si="3"/>
        <v>0.19001777596128161</v>
      </c>
      <c r="E25">
        <f t="shared" si="4"/>
        <v>0</v>
      </c>
      <c r="K25">
        <f t="shared" si="5"/>
        <v>0.80998222403871833</v>
      </c>
      <c r="L25">
        <f t="shared" si="6"/>
        <v>-0.21074297718767343</v>
      </c>
      <c r="O25">
        <f t="shared" si="7"/>
        <v>1</v>
      </c>
      <c r="Z25" t="s">
        <v>47</v>
      </c>
      <c r="AA25" t="s">
        <v>49</v>
      </c>
      <c r="AB25">
        <v>185</v>
      </c>
    </row>
    <row r="26" spans="1:28" x14ac:dyDescent="0.25">
      <c r="A26">
        <f t="shared" si="0"/>
        <v>-1</v>
      </c>
      <c r="B26">
        <f t="shared" si="1"/>
        <v>140</v>
      </c>
      <c r="C26">
        <f t="shared" si="2"/>
        <v>1</v>
      </c>
      <c r="D26">
        <f t="shared" si="3"/>
        <v>0.18003801365886829</v>
      </c>
      <c r="E26">
        <f t="shared" si="4"/>
        <v>0</v>
      </c>
      <c r="K26">
        <f t="shared" si="5"/>
        <v>0.18003801365886829</v>
      </c>
      <c r="L26">
        <f t="shared" si="6"/>
        <v>-1.7145872633950479</v>
      </c>
      <c r="O26">
        <f t="shared" si="7"/>
        <v>0</v>
      </c>
      <c r="Z26" t="s">
        <v>50</v>
      </c>
      <c r="AA26" t="s">
        <v>48</v>
      </c>
      <c r="AB26">
        <v>140</v>
      </c>
    </row>
    <row r="27" spans="1:28" x14ac:dyDescent="0.25">
      <c r="A27">
        <f t="shared" si="0"/>
        <v>-1</v>
      </c>
      <c r="B27">
        <f t="shared" si="1"/>
        <v>120</v>
      </c>
      <c r="C27">
        <f t="shared" si="2"/>
        <v>0</v>
      </c>
      <c r="D27">
        <f t="shared" si="3"/>
        <v>0.26596474786770791</v>
      </c>
      <c r="E27">
        <f t="shared" si="4"/>
        <v>0</v>
      </c>
      <c r="K27">
        <f t="shared" si="5"/>
        <v>0.73403525213229204</v>
      </c>
      <c r="L27">
        <f t="shared" si="6"/>
        <v>-0.30919822409271069</v>
      </c>
      <c r="O27">
        <f t="shared" si="7"/>
        <v>1</v>
      </c>
      <c r="Z27" t="s">
        <v>47</v>
      </c>
      <c r="AA27" t="s">
        <v>48</v>
      </c>
      <c r="AB27">
        <v>120</v>
      </c>
    </row>
    <row r="28" spans="1:28" x14ac:dyDescent="0.25">
      <c r="A28">
        <f t="shared" si="0"/>
        <v>1</v>
      </c>
      <c r="B28">
        <f t="shared" si="1"/>
        <v>130</v>
      </c>
      <c r="C28">
        <f t="shared" si="2"/>
        <v>0</v>
      </c>
      <c r="D28">
        <f t="shared" si="3"/>
        <v>0.48190071262253004</v>
      </c>
      <c r="E28">
        <f t="shared" si="4"/>
        <v>0</v>
      </c>
      <c r="K28">
        <f t="shared" si="5"/>
        <v>0.51809928737746991</v>
      </c>
      <c r="L28">
        <f t="shared" si="6"/>
        <v>-0.65758838061597891</v>
      </c>
      <c r="O28">
        <f t="shared" si="7"/>
        <v>1</v>
      </c>
      <c r="Z28" t="s">
        <v>47</v>
      </c>
      <c r="AA28" t="s">
        <v>49</v>
      </c>
      <c r="AB28">
        <v>130</v>
      </c>
    </row>
    <row r="29" spans="1:28" x14ac:dyDescent="0.25">
      <c r="A29">
        <f t="shared" si="0"/>
        <v>-1</v>
      </c>
      <c r="B29">
        <f t="shared" si="1"/>
        <v>138</v>
      </c>
      <c r="C29">
        <f t="shared" si="2"/>
        <v>1</v>
      </c>
      <c r="D29">
        <f t="shared" si="3"/>
        <v>0.18755131046234197</v>
      </c>
      <c r="E29">
        <f t="shared" si="4"/>
        <v>0</v>
      </c>
      <c r="K29">
        <f t="shared" si="5"/>
        <v>0.18755131046234197</v>
      </c>
      <c r="L29">
        <f t="shared" si="6"/>
        <v>-1.6737028152094329</v>
      </c>
      <c r="O29">
        <f t="shared" si="7"/>
        <v>0</v>
      </c>
      <c r="Z29" t="s">
        <v>50</v>
      </c>
      <c r="AA29" t="s">
        <v>48</v>
      </c>
      <c r="AB29">
        <v>138</v>
      </c>
    </row>
    <row r="30" spans="1:28" x14ac:dyDescent="0.25">
      <c r="A30">
        <f t="shared" si="0"/>
        <v>1</v>
      </c>
      <c r="B30">
        <f t="shared" si="1"/>
        <v>121</v>
      </c>
      <c r="C30">
        <f t="shared" si="2"/>
        <v>1</v>
      </c>
      <c r="D30">
        <f t="shared" si="3"/>
        <v>0.53816927285549676</v>
      </c>
      <c r="E30">
        <f t="shared" si="4"/>
        <v>1</v>
      </c>
      <c r="K30">
        <f t="shared" si="5"/>
        <v>0.53816927285549676</v>
      </c>
      <c r="L30">
        <f t="shared" si="6"/>
        <v>-0.61958213474670853</v>
      </c>
      <c r="O30">
        <f t="shared" si="7"/>
        <v>1</v>
      </c>
      <c r="Z30" t="s">
        <v>50</v>
      </c>
      <c r="AA30" t="s">
        <v>49</v>
      </c>
      <c r="AB30">
        <v>121</v>
      </c>
    </row>
    <row r="31" spans="1:28" x14ac:dyDescent="0.25">
      <c r="A31">
        <f t="shared" si="0"/>
        <v>-1</v>
      </c>
      <c r="B31">
        <f t="shared" si="1"/>
        <v>125</v>
      </c>
      <c r="C31">
        <f t="shared" si="2"/>
        <v>0</v>
      </c>
      <c r="D31">
        <f t="shared" si="3"/>
        <v>0.24224372443276904</v>
      </c>
      <c r="E31">
        <f t="shared" si="4"/>
        <v>0</v>
      </c>
      <c r="K31">
        <f t="shared" si="5"/>
        <v>0.75775627556723091</v>
      </c>
      <c r="L31">
        <f t="shared" si="6"/>
        <v>-0.27739348123459812</v>
      </c>
      <c r="O31">
        <f t="shared" si="7"/>
        <v>1</v>
      </c>
      <c r="Z31" t="s">
        <v>47</v>
      </c>
      <c r="AA31" t="s">
        <v>48</v>
      </c>
      <c r="AB31">
        <v>125</v>
      </c>
    </row>
    <row r="32" spans="1:28" x14ac:dyDescent="0.25">
      <c r="A32">
        <f t="shared" si="0"/>
        <v>-1</v>
      </c>
      <c r="B32">
        <f t="shared" si="1"/>
        <v>116</v>
      </c>
      <c r="C32">
        <f t="shared" si="2"/>
        <v>1</v>
      </c>
      <c r="D32">
        <f t="shared" si="3"/>
        <v>0.28597492574954664</v>
      </c>
      <c r="E32">
        <f t="shared" si="4"/>
        <v>0</v>
      </c>
      <c r="K32">
        <f t="shared" si="5"/>
        <v>0.28597492574954664</v>
      </c>
      <c r="L32">
        <f t="shared" si="6"/>
        <v>-1.2518511442100992</v>
      </c>
      <c r="O32">
        <f t="shared" si="7"/>
        <v>0</v>
      </c>
      <c r="Z32" t="s">
        <v>50</v>
      </c>
      <c r="AA32" t="s">
        <v>48</v>
      </c>
      <c r="AB32">
        <v>116</v>
      </c>
    </row>
    <row r="33" spans="1:28" x14ac:dyDescent="0.25">
      <c r="A33">
        <f t="shared" si="0"/>
        <v>-1</v>
      </c>
      <c r="B33">
        <f t="shared" si="1"/>
        <v>145</v>
      </c>
      <c r="C33">
        <f t="shared" si="2"/>
        <v>0</v>
      </c>
      <c r="D33">
        <f t="shared" si="3"/>
        <v>0.16228632712681632</v>
      </c>
      <c r="E33">
        <f t="shared" si="4"/>
        <v>0</v>
      </c>
      <c r="K33">
        <f t="shared" si="5"/>
        <v>0.83771367287318377</v>
      </c>
      <c r="L33">
        <f t="shared" si="6"/>
        <v>-0.17707891603461962</v>
      </c>
      <c r="O33">
        <f t="shared" si="7"/>
        <v>1</v>
      </c>
      <c r="Z33" t="s">
        <v>47</v>
      </c>
      <c r="AA33" t="s">
        <v>48</v>
      </c>
      <c r="AB33">
        <v>145</v>
      </c>
    </row>
    <row r="34" spans="1:28" x14ac:dyDescent="0.25">
      <c r="A34">
        <f t="shared" si="0"/>
        <v>1</v>
      </c>
      <c r="B34">
        <f t="shared" si="1"/>
        <v>150</v>
      </c>
      <c r="C34">
        <f t="shared" si="2"/>
        <v>1</v>
      </c>
      <c r="D34">
        <f t="shared" si="3"/>
        <v>0.36046984239545565</v>
      </c>
      <c r="E34">
        <f t="shared" si="4"/>
        <v>0</v>
      </c>
      <c r="K34">
        <f t="shared" si="5"/>
        <v>0.36046984239545565</v>
      </c>
      <c r="L34">
        <f t="shared" si="6"/>
        <v>-1.0203469806927254</v>
      </c>
      <c r="O34">
        <f t="shared" si="7"/>
        <v>0</v>
      </c>
      <c r="Z34" t="s">
        <v>50</v>
      </c>
      <c r="AA34" t="s">
        <v>49</v>
      </c>
      <c r="AB34">
        <v>150</v>
      </c>
    </row>
    <row r="35" spans="1:28" x14ac:dyDescent="0.25">
      <c r="A35">
        <f t="shared" si="0"/>
        <v>1</v>
      </c>
      <c r="B35">
        <f t="shared" si="1"/>
        <v>112</v>
      </c>
      <c r="C35">
        <f t="shared" si="2"/>
        <v>0</v>
      </c>
      <c r="D35">
        <f t="shared" si="3"/>
        <v>0.59348188971259275</v>
      </c>
      <c r="E35">
        <f t="shared" si="4"/>
        <v>1</v>
      </c>
      <c r="K35">
        <f t="shared" si="5"/>
        <v>0.4065181102874072</v>
      </c>
      <c r="L35">
        <f t="shared" si="6"/>
        <v>-0.90012679923413241</v>
      </c>
      <c r="O35">
        <f t="shared" si="7"/>
        <v>0</v>
      </c>
      <c r="Z35" t="s">
        <v>47</v>
      </c>
      <c r="AA35" t="s">
        <v>49</v>
      </c>
      <c r="AB35">
        <v>112</v>
      </c>
    </row>
    <row r="36" spans="1:28" x14ac:dyDescent="0.25">
      <c r="A36">
        <f t="shared" si="0"/>
        <v>-1</v>
      </c>
      <c r="B36">
        <f t="shared" si="1"/>
        <v>125</v>
      </c>
      <c r="C36">
        <f t="shared" si="2"/>
        <v>0</v>
      </c>
      <c r="D36">
        <f t="shared" si="3"/>
        <v>0.24224372443276904</v>
      </c>
      <c r="E36">
        <f t="shared" si="4"/>
        <v>0</v>
      </c>
      <c r="K36">
        <f t="shared" si="5"/>
        <v>0.75775627556723091</v>
      </c>
      <c r="L36">
        <f t="shared" si="6"/>
        <v>-0.27739348123459812</v>
      </c>
      <c r="O36">
        <f t="shared" si="7"/>
        <v>1</v>
      </c>
      <c r="Z36" t="s">
        <v>47</v>
      </c>
      <c r="AA36" t="s">
        <v>48</v>
      </c>
      <c r="AB36">
        <v>125</v>
      </c>
    </row>
    <row r="37" spans="1:28" x14ac:dyDescent="0.25">
      <c r="A37">
        <f t="shared" si="0"/>
        <v>-1</v>
      </c>
      <c r="B37">
        <f t="shared" si="1"/>
        <v>190</v>
      </c>
      <c r="C37">
        <f t="shared" si="2"/>
        <v>0</v>
      </c>
      <c r="D37">
        <f t="shared" si="3"/>
        <v>5.9059656809529085E-2</v>
      </c>
      <c r="E37">
        <f t="shared" si="4"/>
        <v>0</v>
      </c>
      <c r="K37">
        <f t="shared" si="5"/>
        <v>0.94094034319047093</v>
      </c>
      <c r="L37">
        <f t="shared" si="6"/>
        <v>-6.0875538653556299E-2</v>
      </c>
      <c r="O37">
        <f t="shared" si="7"/>
        <v>1</v>
      </c>
      <c r="Z37" t="s">
        <v>47</v>
      </c>
      <c r="AA37" t="s">
        <v>48</v>
      </c>
      <c r="AB37">
        <v>190</v>
      </c>
    </row>
    <row r="38" spans="1:28" x14ac:dyDescent="0.25">
      <c r="A38">
        <f t="shared" si="0"/>
        <v>-1</v>
      </c>
      <c r="B38">
        <f t="shared" si="1"/>
        <v>155</v>
      </c>
      <c r="C38">
        <f t="shared" si="2"/>
        <v>0</v>
      </c>
      <c r="D38">
        <f t="shared" si="3"/>
        <v>0.13104364336602131</v>
      </c>
      <c r="E38">
        <f t="shared" si="4"/>
        <v>0</v>
      </c>
      <c r="K38">
        <f t="shared" si="5"/>
        <v>0.86895635663397863</v>
      </c>
      <c r="L38">
        <f t="shared" si="6"/>
        <v>-0.14046237749349746</v>
      </c>
      <c r="O38">
        <f t="shared" si="7"/>
        <v>1</v>
      </c>
      <c r="Z38" t="s">
        <v>47</v>
      </c>
      <c r="AA38" t="s">
        <v>48</v>
      </c>
      <c r="AB38">
        <v>155</v>
      </c>
    </row>
    <row r="39" spans="1:28" x14ac:dyDescent="0.25">
      <c r="A39">
        <f t="shared" si="0"/>
        <v>1</v>
      </c>
      <c r="B39">
        <f t="shared" si="1"/>
        <v>170</v>
      </c>
      <c r="C39">
        <f t="shared" si="2"/>
        <v>0</v>
      </c>
      <c r="D39">
        <f t="shared" si="3"/>
        <v>0.2546009749771434</v>
      </c>
      <c r="E39">
        <f t="shared" si="4"/>
        <v>0</v>
      </c>
      <c r="K39">
        <f t="shared" si="5"/>
        <v>0.7453990250228566</v>
      </c>
      <c r="L39">
        <f t="shared" si="6"/>
        <v>-0.29383559992970915</v>
      </c>
      <c r="O39">
        <f t="shared" si="7"/>
        <v>1</v>
      </c>
      <c r="Z39" t="s">
        <v>47</v>
      </c>
      <c r="AA39" t="s">
        <v>49</v>
      </c>
      <c r="AB39">
        <v>170</v>
      </c>
    </row>
    <row r="40" spans="1:28" x14ac:dyDescent="0.25">
      <c r="A40">
        <f t="shared" si="0"/>
        <v>-1</v>
      </c>
      <c r="B40">
        <f t="shared" si="1"/>
        <v>155</v>
      </c>
      <c r="C40">
        <f t="shared" si="2"/>
        <v>0</v>
      </c>
      <c r="D40">
        <f t="shared" si="3"/>
        <v>0.13104364336602131</v>
      </c>
      <c r="E40">
        <f t="shared" si="4"/>
        <v>0</v>
      </c>
      <c r="K40">
        <f t="shared" si="5"/>
        <v>0.86895635663397863</v>
      </c>
      <c r="L40">
        <f t="shared" si="6"/>
        <v>-0.14046237749349746</v>
      </c>
      <c r="O40">
        <f t="shared" si="7"/>
        <v>1</v>
      </c>
      <c r="Z40" t="s">
        <v>47</v>
      </c>
      <c r="AA40" t="s">
        <v>48</v>
      </c>
      <c r="AB40">
        <v>155</v>
      </c>
    </row>
    <row r="41" spans="1:28" x14ac:dyDescent="0.25">
      <c r="A41">
        <f t="shared" si="0"/>
        <v>-1</v>
      </c>
      <c r="B41">
        <f t="shared" si="1"/>
        <v>215</v>
      </c>
      <c r="C41">
        <f t="shared" si="2"/>
        <v>0</v>
      </c>
      <c r="D41">
        <f t="shared" si="3"/>
        <v>3.2469287387551414E-2</v>
      </c>
      <c r="E41">
        <f t="shared" si="4"/>
        <v>0</v>
      </c>
      <c r="K41">
        <f t="shared" si="5"/>
        <v>0.9675307126124485</v>
      </c>
      <c r="L41">
        <f t="shared" si="6"/>
        <v>-3.3008110279767536E-2</v>
      </c>
      <c r="O41">
        <f t="shared" si="7"/>
        <v>1</v>
      </c>
      <c r="Z41" t="s">
        <v>47</v>
      </c>
      <c r="AA41" t="s">
        <v>48</v>
      </c>
      <c r="AB41">
        <v>215</v>
      </c>
    </row>
    <row r="42" spans="1:28" x14ac:dyDescent="0.25">
      <c r="A42">
        <f t="shared" si="0"/>
        <v>1</v>
      </c>
      <c r="B42">
        <f t="shared" si="1"/>
        <v>150</v>
      </c>
      <c r="C42">
        <f t="shared" si="2"/>
        <v>0</v>
      </c>
      <c r="D42">
        <f t="shared" si="3"/>
        <v>0.36046984239545565</v>
      </c>
      <c r="E42">
        <f t="shared" si="4"/>
        <v>0</v>
      </c>
      <c r="K42">
        <f t="shared" si="5"/>
        <v>0.63953015760454435</v>
      </c>
      <c r="L42">
        <f t="shared" si="6"/>
        <v>-0.44702150097578219</v>
      </c>
      <c r="O42">
        <f t="shared" si="7"/>
        <v>1</v>
      </c>
      <c r="Z42" t="s">
        <v>47</v>
      </c>
      <c r="AA42" t="s">
        <v>49</v>
      </c>
      <c r="AB42">
        <v>150</v>
      </c>
    </row>
    <row r="43" spans="1:28" x14ac:dyDescent="0.25">
      <c r="A43">
        <f t="shared" si="0"/>
        <v>1</v>
      </c>
      <c r="B43">
        <f t="shared" si="1"/>
        <v>145</v>
      </c>
      <c r="C43">
        <f t="shared" si="2"/>
        <v>0</v>
      </c>
      <c r="D43">
        <f t="shared" si="3"/>
        <v>0.38981229161813569</v>
      </c>
      <c r="E43">
        <f t="shared" si="4"/>
        <v>0</v>
      </c>
      <c r="K43">
        <f t="shared" si="5"/>
        <v>0.61018770838186431</v>
      </c>
      <c r="L43">
        <f t="shared" si="6"/>
        <v>-0.49398865049166218</v>
      </c>
      <c r="O43">
        <f t="shared" si="7"/>
        <v>1</v>
      </c>
      <c r="Z43" t="s">
        <v>47</v>
      </c>
      <c r="AA43" t="s">
        <v>49</v>
      </c>
      <c r="AB43">
        <v>145</v>
      </c>
    </row>
    <row r="44" spans="1:28" x14ac:dyDescent="0.25">
      <c r="A44">
        <f t="shared" si="0"/>
        <v>-1</v>
      </c>
      <c r="B44">
        <f t="shared" si="1"/>
        <v>155</v>
      </c>
      <c r="C44">
        <f t="shared" si="2"/>
        <v>0</v>
      </c>
      <c r="D44">
        <f t="shared" si="3"/>
        <v>0.13104364336602131</v>
      </c>
      <c r="E44">
        <f t="shared" si="4"/>
        <v>0</v>
      </c>
      <c r="K44">
        <f t="shared" si="5"/>
        <v>0.86895635663397863</v>
      </c>
      <c r="L44">
        <f t="shared" si="6"/>
        <v>-0.14046237749349746</v>
      </c>
      <c r="O44">
        <f t="shared" si="7"/>
        <v>1</v>
      </c>
      <c r="Z44" t="s">
        <v>47</v>
      </c>
      <c r="AA44" t="s">
        <v>48</v>
      </c>
      <c r="AB44">
        <v>155</v>
      </c>
    </row>
    <row r="45" spans="1:28" x14ac:dyDescent="0.25">
      <c r="A45">
        <f t="shared" si="0"/>
        <v>-1</v>
      </c>
      <c r="B45">
        <f t="shared" si="1"/>
        <v>155</v>
      </c>
      <c r="C45">
        <f t="shared" si="2"/>
        <v>0</v>
      </c>
      <c r="D45">
        <f t="shared" si="3"/>
        <v>0.13104364336602131</v>
      </c>
      <c r="E45">
        <f t="shared" si="4"/>
        <v>0</v>
      </c>
      <c r="K45">
        <f t="shared" si="5"/>
        <v>0.86895635663397863</v>
      </c>
      <c r="L45">
        <f t="shared" si="6"/>
        <v>-0.14046237749349746</v>
      </c>
      <c r="O45">
        <f t="shared" si="7"/>
        <v>1</v>
      </c>
      <c r="Z45" t="s">
        <v>47</v>
      </c>
      <c r="AA45" t="s">
        <v>48</v>
      </c>
      <c r="AB45">
        <v>155</v>
      </c>
    </row>
    <row r="46" spans="1:28" x14ac:dyDescent="0.25">
      <c r="A46">
        <f t="shared" si="0"/>
        <v>-1</v>
      </c>
      <c r="B46">
        <f t="shared" si="1"/>
        <v>150</v>
      </c>
      <c r="C46">
        <f t="shared" si="2"/>
        <v>0</v>
      </c>
      <c r="D46">
        <f t="shared" si="3"/>
        <v>0.14597335264637382</v>
      </c>
      <c r="E46">
        <f t="shared" si="4"/>
        <v>0</v>
      </c>
      <c r="K46">
        <f t="shared" si="5"/>
        <v>0.85402664735362621</v>
      </c>
      <c r="L46">
        <f t="shared" si="6"/>
        <v>-0.15779288269017575</v>
      </c>
      <c r="O46">
        <f t="shared" si="7"/>
        <v>1</v>
      </c>
      <c r="Z46" t="s">
        <v>47</v>
      </c>
      <c r="AA46" t="s">
        <v>48</v>
      </c>
      <c r="AB46">
        <v>150</v>
      </c>
    </row>
    <row r="47" spans="1:28" x14ac:dyDescent="0.25">
      <c r="A47">
        <f t="shared" si="0"/>
        <v>1</v>
      </c>
      <c r="B47">
        <f t="shared" si="1"/>
        <v>155</v>
      </c>
      <c r="C47">
        <f t="shared" si="2"/>
        <v>0</v>
      </c>
      <c r="D47">
        <f t="shared" si="3"/>
        <v>0.33213386735273137</v>
      </c>
      <c r="E47">
        <f t="shared" si="4"/>
        <v>0</v>
      </c>
      <c r="K47">
        <f t="shared" si="5"/>
        <v>0.66786613264726868</v>
      </c>
      <c r="L47">
        <f t="shared" si="6"/>
        <v>-0.40366752575693993</v>
      </c>
      <c r="O47">
        <f t="shared" si="7"/>
        <v>1</v>
      </c>
      <c r="Z47" t="s">
        <v>47</v>
      </c>
      <c r="AA47" t="s">
        <v>49</v>
      </c>
      <c r="AB47">
        <v>155</v>
      </c>
    </row>
    <row r="48" spans="1:28" x14ac:dyDescent="0.25">
      <c r="A48">
        <f t="shared" si="0"/>
        <v>-1</v>
      </c>
      <c r="B48">
        <f t="shared" si="1"/>
        <v>150</v>
      </c>
      <c r="C48">
        <f t="shared" si="2"/>
        <v>0</v>
      </c>
      <c r="D48">
        <f t="shared" si="3"/>
        <v>0.14597335264637382</v>
      </c>
      <c r="E48">
        <f t="shared" si="4"/>
        <v>0</v>
      </c>
      <c r="K48">
        <f t="shared" si="5"/>
        <v>0.85402664735362621</v>
      </c>
      <c r="L48">
        <f t="shared" si="6"/>
        <v>-0.15779288269017575</v>
      </c>
      <c r="O48">
        <f t="shared" si="7"/>
        <v>1</v>
      </c>
      <c r="Z48" t="s">
        <v>47</v>
      </c>
      <c r="AA48" t="s">
        <v>48</v>
      </c>
      <c r="AB48">
        <v>150</v>
      </c>
    </row>
    <row r="49" spans="1:28" x14ac:dyDescent="0.25">
      <c r="A49">
        <f t="shared" si="0"/>
        <v>1</v>
      </c>
      <c r="B49">
        <f t="shared" si="1"/>
        <v>180</v>
      </c>
      <c r="C49">
        <f t="shared" si="2"/>
        <v>1</v>
      </c>
      <c r="D49">
        <f t="shared" si="3"/>
        <v>0.21004229259026777</v>
      </c>
      <c r="E49">
        <f t="shared" si="4"/>
        <v>0</v>
      </c>
      <c r="K49">
        <f t="shared" si="5"/>
        <v>0.21004229259026777</v>
      </c>
      <c r="L49">
        <f t="shared" si="6"/>
        <v>-1.5604463752545847</v>
      </c>
      <c r="O49">
        <f t="shared" si="7"/>
        <v>0</v>
      </c>
      <c r="Z49" t="s">
        <v>50</v>
      </c>
      <c r="AA49" t="s">
        <v>49</v>
      </c>
      <c r="AB49">
        <v>180</v>
      </c>
    </row>
    <row r="50" spans="1:28" x14ac:dyDescent="0.25">
      <c r="A50">
        <f t="shared" si="0"/>
        <v>-1</v>
      </c>
      <c r="B50">
        <f t="shared" si="1"/>
        <v>160</v>
      </c>
      <c r="C50">
        <f t="shared" si="2"/>
        <v>0</v>
      </c>
      <c r="D50">
        <f t="shared" si="3"/>
        <v>0.11743093744427972</v>
      </c>
      <c r="E50">
        <f t="shared" si="4"/>
        <v>0</v>
      </c>
      <c r="K50">
        <f t="shared" si="5"/>
        <v>0.88256906255572032</v>
      </c>
      <c r="L50">
        <f t="shared" si="6"/>
        <v>-0.12491823538316385</v>
      </c>
      <c r="O50">
        <f t="shared" si="7"/>
        <v>1</v>
      </c>
      <c r="Z50" t="s">
        <v>47</v>
      </c>
      <c r="AA50" t="s">
        <v>48</v>
      </c>
      <c r="AB50">
        <v>160</v>
      </c>
    </row>
    <row r="51" spans="1:28" x14ac:dyDescent="0.25">
      <c r="A51">
        <f t="shared" si="0"/>
        <v>-1</v>
      </c>
      <c r="B51">
        <f t="shared" si="1"/>
        <v>135</v>
      </c>
      <c r="C51">
        <f t="shared" si="2"/>
        <v>0</v>
      </c>
      <c r="D51">
        <f t="shared" si="3"/>
        <v>0.19926957365457962</v>
      </c>
      <c r="E51">
        <f t="shared" si="4"/>
        <v>0</v>
      </c>
      <c r="K51">
        <f t="shared" si="5"/>
        <v>0.80073042634542035</v>
      </c>
      <c r="L51">
        <f t="shared" si="6"/>
        <v>-0.22223093494346488</v>
      </c>
      <c r="O51">
        <f t="shared" si="7"/>
        <v>1</v>
      </c>
      <c r="Z51" t="s">
        <v>47</v>
      </c>
      <c r="AA51" t="s">
        <v>48</v>
      </c>
      <c r="AB51">
        <v>135</v>
      </c>
    </row>
    <row r="52" spans="1:28" x14ac:dyDescent="0.25">
      <c r="A52">
        <f t="shared" si="0"/>
        <v>-1</v>
      </c>
      <c r="B52">
        <f t="shared" si="1"/>
        <v>160</v>
      </c>
      <c r="C52">
        <f t="shared" si="2"/>
        <v>0</v>
      </c>
      <c r="D52">
        <f t="shared" si="3"/>
        <v>0.11743093744427972</v>
      </c>
      <c r="E52">
        <f t="shared" si="4"/>
        <v>0</v>
      </c>
      <c r="K52">
        <f t="shared" si="5"/>
        <v>0.88256906255572032</v>
      </c>
      <c r="L52">
        <f t="shared" si="6"/>
        <v>-0.12491823538316385</v>
      </c>
      <c r="O52">
        <f t="shared" si="7"/>
        <v>1</v>
      </c>
      <c r="Z52" t="s">
        <v>47</v>
      </c>
      <c r="AA52" t="s">
        <v>48</v>
      </c>
      <c r="AB52">
        <v>160</v>
      </c>
    </row>
    <row r="53" spans="1:28" x14ac:dyDescent="0.25">
      <c r="A53">
        <f t="shared" si="0"/>
        <v>1</v>
      </c>
      <c r="B53">
        <f t="shared" si="1"/>
        <v>130</v>
      </c>
      <c r="C53">
        <f t="shared" si="2"/>
        <v>0</v>
      </c>
      <c r="D53">
        <f t="shared" si="3"/>
        <v>0.48190071262253004</v>
      </c>
      <c r="E53">
        <f t="shared" si="4"/>
        <v>0</v>
      </c>
      <c r="K53">
        <f t="shared" si="5"/>
        <v>0.51809928737746991</v>
      </c>
      <c r="L53">
        <f t="shared" si="6"/>
        <v>-0.65758838061597891</v>
      </c>
      <c r="O53">
        <f t="shared" si="7"/>
        <v>1</v>
      </c>
      <c r="Z53" t="s">
        <v>47</v>
      </c>
      <c r="AA53" t="s">
        <v>49</v>
      </c>
      <c r="AB53">
        <v>130</v>
      </c>
    </row>
    <row r="54" spans="1:28" x14ac:dyDescent="0.25">
      <c r="A54">
        <f t="shared" si="0"/>
        <v>1</v>
      </c>
      <c r="B54">
        <f t="shared" si="1"/>
        <v>155</v>
      </c>
      <c r="C54">
        <f t="shared" si="2"/>
        <v>0</v>
      </c>
      <c r="D54">
        <f t="shared" si="3"/>
        <v>0.33213386735273137</v>
      </c>
      <c r="E54">
        <f t="shared" si="4"/>
        <v>0</v>
      </c>
      <c r="K54">
        <f t="shared" si="5"/>
        <v>0.66786613264726868</v>
      </c>
      <c r="L54">
        <f t="shared" si="6"/>
        <v>-0.40366752575693993</v>
      </c>
      <c r="O54">
        <f t="shared" si="7"/>
        <v>1</v>
      </c>
      <c r="Z54" t="s">
        <v>47</v>
      </c>
      <c r="AA54" t="s">
        <v>49</v>
      </c>
      <c r="AB54">
        <v>155</v>
      </c>
    </row>
    <row r="55" spans="1:28" x14ac:dyDescent="0.25">
      <c r="A55">
        <f t="shared" si="0"/>
        <v>1</v>
      </c>
      <c r="B55">
        <f t="shared" si="1"/>
        <v>150</v>
      </c>
      <c r="C55">
        <f t="shared" si="2"/>
        <v>0</v>
      </c>
      <c r="D55">
        <f t="shared" si="3"/>
        <v>0.36046984239545565</v>
      </c>
      <c r="E55">
        <f t="shared" si="4"/>
        <v>0</v>
      </c>
      <c r="K55">
        <f t="shared" si="5"/>
        <v>0.63953015760454435</v>
      </c>
      <c r="L55">
        <f t="shared" si="6"/>
        <v>-0.44702150097578219</v>
      </c>
      <c r="O55">
        <f t="shared" si="7"/>
        <v>1</v>
      </c>
      <c r="Z55" t="s">
        <v>47</v>
      </c>
      <c r="AA55" t="s">
        <v>49</v>
      </c>
      <c r="AB55">
        <v>150</v>
      </c>
    </row>
    <row r="56" spans="1:28" x14ac:dyDescent="0.25">
      <c r="A56">
        <f t="shared" si="0"/>
        <v>-1</v>
      </c>
      <c r="B56">
        <f t="shared" si="1"/>
        <v>148</v>
      </c>
      <c r="C56">
        <f t="shared" si="2"/>
        <v>0</v>
      </c>
      <c r="D56">
        <f t="shared" si="3"/>
        <v>0.15232916713881547</v>
      </c>
      <c r="E56">
        <f t="shared" si="4"/>
        <v>0</v>
      </c>
      <c r="K56">
        <f t="shared" si="5"/>
        <v>0.84767083286118461</v>
      </c>
      <c r="L56">
        <f t="shared" si="6"/>
        <v>-0.16526288734301531</v>
      </c>
      <c r="O56">
        <f t="shared" si="7"/>
        <v>1</v>
      </c>
      <c r="Z56" t="s">
        <v>47</v>
      </c>
      <c r="AA56" t="s">
        <v>48</v>
      </c>
      <c r="AB56">
        <v>148</v>
      </c>
    </row>
    <row r="57" spans="1:28" x14ac:dyDescent="0.25">
      <c r="A57">
        <f t="shared" si="0"/>
        <v>-1</v>
      </c>
      <c r="B57">
        <f t="shared" si="1"/>
        <v>155</v>
      </c>
      <c r="C57">
        <f t="shared" si="2"/>
        <v>1</v>
      </c>
      <c r="D57">
        <f t="shared" si="3"/>
        <v>0.13104364336602131</v>
      </c>
      <c r="E57">
        <f t="shared" si="4"/>
        <v>0</v>
      </c>
      <c r="K57">
        <f t="shared" si="5"/>
        <v>0.13104364336602131</v>
      </c>
      <c r="L57">
        <f t="shared" si="6"/>
        <v>-2.0322248557991331</v>
      </c>
      <c r="O57">
        <f t="shared" si="7"/>
        <v>0</v>
      </c>
      <c r="Z57" t="s">
        <v>50</v>
      </c>
      <c r="AA57" t="s">
        <v>48</v>
      </c>
      <c r="AB57">
        <v>155</v>
      </c>
    </row>
    <row r="58" spans="1:28" x14ac:dyDescent="0.25">
      <c r="A58">
        <f t="shared" si="0"/>
        <v>-1</v>
      </c>
      <c r="B58">
        <f t="shared" si="1"/>
        <v>150</v>
      </c>
      <c r="C58">
        <f t="shared" si="2"/>
        <v>0</v>
      </c>
      <c r="D58">
        <f t="shared" si="3"/>
        <v>0.14597335264637382</v>
      </c>
      <c r="E58">
        <f t="shared" si="4"/>
        <v>0</v>
      </c>
      <c r="K58">
        <f t="shared" si="5"/>
        <v>0.85402664735362621</v>
      </c>
      <c r="L58">
        <f t="shared" si="6"/>
        <v>-0.15779288269017575</v>
      </c>
      <c r="O58">
        <f t="shared" si="7"/>
        <v>1</v>
      </c>
      <c r="Z58" t="s">
        <v>47</v>
      </c>
      <c r="AA58" t="s">
        <v>48</v>
      </c>
      <c r="AB58">
        <v>150</v>
      </c>
    </row>
    <row r="59" spans="1:28" x14ac:dyDescent="0.25">
      <c r="A59">
        <f t="shared" si="0"/>
        <v>1</v>
      </c>
      <c r="B59">
        <f t="shared" si="1"/>
        <v>140</v>
      </c>
      <c r="C59">
        <f t="shared" si="2"/>
        <v>1</v>
      </c>
      <c r="D59">
        <f t="shared" si="3"/>
        <v>0.41997472778952677</v>
      </c>
      <c r="E59">
        <f t="shared" si="4"/>
        <v>0</v>
      </c>
      <c r="K59">
        <f t="shared" si="5"/>
        <v>0.41997472778952677</v>
      </c>
      <c r="L59">
        <f t="shared" si="6"/>
        <v>-0.86756074144482442</v>
      </c>
      <c r="O59">
        <f t="shared" si="7"/>
        <v>0</v>
      </c>
      <c r="Z59" t="s">
        <v>50</v>
      </c>
      <c r="AA59" t="s">
        <v>49</v>
      </c>
      <c r="AB59">
        <v>140</v>
      </c>
    </row>
    <row r="60" spans="1:28" x14ac:dyDescent="0.25">
      <c r="A60">
        <f t="shared" si="0"/>
        <v>-1</v>
      </c>
      <c r="B60">
        <f t="shared" si="1"/>
        <v>180</v>
      </c>
      <c r="C60">
        <f t="shared" si="2"/>
        <v>0</v>
      </c>
      <c r="D60">
        <f t="shared" si="3"/>
        <v>7.4613962547749629E-2</v>
      </c>
      <c r="E60">
        <f t="shared" si="4"/>
        <v>0</v>
      </c>
      <c r="K60">
        <f t="shared" si="5"/>
        <v>0.92538603745225034</v>
      </c>
      <c r="L60">
        <f t="shared" si="6"/>
        <v>-7.7544290744687397E-2</v>
      </c>
      <c r="O60">
        <f t="shared" si="7"/>
        <v>1</v>
      </c>
      <c r="Z60" t="s">
        <v>47</v>
      </c>
      <c r="AA60" t="s">
        <v>48</v>
      </c>
      <c r="AB60">
        <v>180</v>
      </c>
    </row>
    <row r="61" spans="1:28" x14ac:dyDescent="0.25">
      <c r="A61">
        <f t="shared" si="0"/>
        <v>1</v>
      </c>
      <c r="B61">
        <f t="shared" si="1"/>
        <v>190</v>
      </c>
      <c r="C61">
        <f t="shared" si="2"/>
        <v>0</v>
      </c>
      <c r="D61">
        <f t="shared" si="3"/>
        <v>0.17148788352211461</v>
      </c>
      <c r="E61">
        <f t="shared" si="4"/>
        <v>0</v>
      </c>
      <c r="K61">
        <f t="shared" si="5"/>
        <v>0.82851211647788536</v>
      </c>
      <c r="L61">
        <f t="shared" si="6"/>
        <v>-0.18812381762633787</v>
      </c>
      <c r="O61">
        <f t="shared" si="7"/>
        <v>1</v>
      </c>
      <c r="Z61" t="s">
        <v>47</v>
      </c>
      <c r="AA61" t="s">
        <v>49</v>
      </c>
      <c r="AB61">
        <v>190</v>
      </c>
    </row>
    <row r="62" spans="1:28" x14ac:dyDescent="0.25">
      <c r="A62">
        <f t="shared" si="0"/>
        <v>-1</v>
      </c>
      <c r="B62">
        <f t="shared" si="1"/>
        <v>145</v>
      </c>
      <c r="C62">
        <f t="shared" si="2"/>
        <v>1</v>
      </c>
      <c r="D62">
        <f t="shared" si="3"/>
        <v>0.16228632712681632</v>
      </c>
      <c r="E62">
        <f t="shared" si="4"/>
        <v>0</v>
      </c>
      <c r="K62">
        <f t="shared" si="5"/>
        <v>0.16228632712681632</v>
      </c>
      <c r="L62">
        <f t="shared" si="6"/>
        <v>-1.8183930524538763</v>
      </c>
      <c r="O62">
        <f t="shared" si="7"/>
        <v>0</v>
      </c>
      <c r="Z62" t="s">
        <v>50</v>
      </c>
      <c r="AA62" t="s">
        <v>48</v>
      </c>
      <c r="AB62">
        <v>145</v>
      </c>
    </row>
    <row r="63" spans="1:28" x14ac:dyDescent="0.25">
      <c r="A63">
        <f t="shared" si="0"/>
        <v>1</v>
      </c>
      <c r="B63">
        <f t="shared" si="1"/>
        <v>150</v>
      </c>
      <c r="C63">
        <f t="shared" si="2"/>
        <v>1</v>
      </c>
      <c r="D63">
        <f t="shared" si="3"/>
        <v>0.36046984239545565</v>
      </c>
      <c r="E63">
        <f t="shared" si="4"/>
        <v>0</v>
      </c>
      <c r="K63">
        <f t="shared" si="5"/>
        <v>0.36046984239545565</v>
      </c>
      <c r="L63">
        <f t="shared" si="6"/>
        <v>-1.0203469806927254</v>
      </c>
      <c r="O63">
        <f t="shared" si="7"/>
        <v>0</v>
      </c>
      <c r="Z63" t="s">
        <v>50</v>
      </c>
      <c r="AA63" t="s">
        <v>49</v>
      </c>
      <c r="AB63">
        <v>150</v>
      </c>
    </row>
    <row r="64" spans="1:28" x14ac:dyDescent="0.25">
      <c r="A64">
        <f t="shared" si="0"/>
        <v>1</v>
      </c>
      <c r="B64">
        <f t="shared" si="1"/>
        <v>164</v>
      </c>
      <c r="C64">
        <f t="shared" si="2"/>
        <v>0</v>
      </c>
      <c r="D64">
        <f t="shared" si="3"/>
        <v>0.2841530962386461</v>
      </c>
      <c r="E64">
        <f t="shared" si="4"/>
        <v>0</v>
      </c>
      <c r="K64">
        <f t="shared" si="5"/>
        <v>0.71584690376135385</v>
      </c>
      <c r="L64">
        <f t="shared" si="6"/>
        <v>-0.33428895644693579</v>
      </c>
      <c r="O64">
        <f t="shared" si="7"/>
        <v>1</v>
      </c>
      <c r="Z64" t="s">
        <v>47</v>
      </c>
      <c r="AA64" t="s">
        <v>49</v>
      </c>
      <c r="AB64">
        <v>164</v>
      </c>
    </row>
    <row r="65" spans="1:28" x14ac:dyDescent="0.25">
      <c r="A65">
        <f t="shared" si="0"/>
        <v>-1</v>
      </c>
      <c r="B65">
        <f t="shared" si="1"/>
        <v>140</v>
      </c>
      <c r="C65">
        <f t="shared" si="2"/>
        <v>0</v>
      </c>
      <c r="D65">
        <f t="shared" si="3"/>
        <v>0.18003801365886829</v>
      </c>
      <c r="E65">
        <f t="shared" si="4"/>
        <v>0</v>
      </c>
      <c r="K65">
        <f t="shared" si="5"/>
        <v>0.8199619863411316</v>
      </c>
      <c r="L65">
        <f t="shared" si="6"/>
        <v>-0.19849729791898035</v>
      </c>
      <c r="O65">
        <f t="shared" si="7"/>
        <v>1</v>
      </c>
      <c r="Z65" t="s">
        <v>47</v>
      </c>
      <c r="AA65" t="s">
        <v>48</v>
      </c>
      <c r="AB65">
        <v>140</v>
      </c>
    </row>
    <row r="66" spans="1:28" x14ac:dyDescent="0.25">
      <c r="A66">
        <f t="shared" si="0"/>
        <v>-1</v>
      </c>
      <c r="B66">
        <f t="shared" si="1"/>
        <v>142</v>
      </c>
      <c r="C66">
        <f t="shared" si="2"/>
        <v>0</v>
      </c>
      <c r="D66">
        <f t="shared" si="3"/>
        <v>0.17276169733002966</v>
      </c>
      <c r="E66">
        <f t="shared" si="4"/>
        <v>0</v>
      </c>
      <c r="K66">
        <f t="shared" si="5"/>
        <v>0.82723830266997045</v>
      </c>
      <c r="L66">
        <f t="shared" si="6"/>
        <v>-0.1896624722985546</v>
      </c>
      <c r="O66">
        <f t="shared" si="7"/>
        <v>1</v>
      </c>
      <c r="Z66" t="s">
        <v>47</v>
      </c>
      <c r="AA66" t="s">
        <v>48</v>
      </c>
      <c r="AB66">
        <v>142</v>
      </c>
    </row>
    <row r="67" spans="1:28" x14ac:dyDescent="0.25">
      <c r="A67">
        <f t="shared" ref="A67:A93" si="8">IF(AA67="Sim",1,-1)</f>
        <v>-1</v>
      </c>
      <c r="B67">
        <f t="shared" ref="B67:B93" si="9">AB67</f>
        <v>136</v>
      </c>
      <c r="C67">
        <f t="shared" ref="C67:C93" si="10">IF(Z67="Baixo",0,1)</f>
        <v>1</v>
      </c>
      <c r="D67">
        <f t="shared" ref="D67:D93" si="11">EXP($G$2+$H$2*A67+$I$2*B67)/(1+EXP($G$2+$H$2*A67+$I$2*B67))</f>
        <v>0.19530346858451222</v>
      </c>
      <c r="E67">
        <f t="shared" ref="E67:E93" si="12">IF(D67&gt;=0.5,1,0)</f>
        <v>0</v>
      </c>
      <c r="K67">
        <f t="shared" ref="K67:K93" si="13">IF(C67=1,EXP($G$2+$H$2*A67+$I$2*B67)/(1+EXP($G$2+$H$2*A67+$I$2*B67)),1/(1+EXP($G$2+$H$2*A67+$I$2*B67)))</f>
        <v>0.19530346858451222</v>
      </c>
      <c r="L67">
        <f t="shared" ref="L67:L93" si="14">LN(K67)</f>
        <v>-1.6332006809678548</v>
      </c>
      <c r="O67">
        <f t="shared" ref="O67:O93" si="15">IF(ABS(C67-E67)=0,1,0)</f>
        <v>0</v>
      </c>
      <c r="Z67" t="s">
        <v>50</v>
      </c>
      <c r="AA67" t="s">
        <v>48</v>
      </c>
      <c r="AB67">
        <v>136</v>
      </c>
    </row>
    <row r="68" spans="1:28" x14ac:dyDescent="0.25">
      <c r="A68">
        <f t="shared" si="8"/>
        <v>-1</v>
      </c>
      <c r="B68">
        <f t="shared" si="9"/>
        <v>123</v>
      </c>
      <c r="C68">
        <f t="shared" si="10"/>
        <v>0</v>
      </c>
      <c r="D68">
        <f t="shared" si="11"/>
        <v>0.25155655950320016</v>
      </c>
      <c r="E68">
        <f t="shared" si="12"/>
        <v>0</v>
      </c>
      <c r="K68">
        <f t="shared" si="13"/>
        <v>0.74844344049679978</v>
      </c>
      <c r="L68">
        <f t="shared" si="14"/>
        <v>-0.28975964177607233</v>
      </c>
      <c r="O68">
        <f t="shared" si="15"/>
        <v>1</v>
      </c>
      <c r="Z68" t="s">
        <v>47</v>
      </c>
      <c r="AA68" t="s">
        <v>48</v>
      </c>
      <c r="AB68">
        <v>123</v>
      </c>
    </row>
    <row r="69" spans="1:28" x14ac:dyDescent="0.25">
      <c r="A69">
        <f t="shared" si="8"/>
        <v>-1</v>
      </c>
      <c r="B69">
        <f t="shared" si="9"/>
        <v>155</v>
      </c>
      <c r="C69">
        <f t="shared" si="10"/>
        <v>0</v>
      </c>
      <c r="D69">
        <f t="shared" si="11"/>
        <v>0.13104364336602131</v>
      </c>
      <c r="E69">
        <f t="shared" si="12"/>
        <v>0</v>
      </c>
      <c r="K69">
        <f t="shared" si="13"/>
        <v>0.86895635663397863</v>
      </c>
      <c r="L69">
        <f t="shared" si="14"/>
        <v>-0.14046237749349746</v>
      </c>
      <c r="O69">
        <f t="shared" si="15"/>
        <v>1</v>
      </c>
      <c r="Z69" t="s">
        <v>47</v>
      </c>
      <c r="AA69" t="s">
        <v>48</v>
      </c>
      <c r="AB69">
        <v>155</v>
      </c>
    </row>
    <row r="70" spans="1:28" x14ac:dyDescent="0.25">
      <c r="A70">
        <f t="shared" si="8"/>
        <v>-1</v>
      </c>
      <c r="B70">
        <f t="shared" si="9"/>
        <v>130</v>
      </c>
      <c r="C70">
        <f t="shared" si="10"/>
        <v>1</v>
      </c>
      <c r="D70">
        <f t="shared" si="11"/>
        <v>0.22000424708508823</v>
      </c>
      <c r="E70">
        <f t="shared" si="12"/>
        <v>0</v>
      </c>
      <c r="K70">
        <f t="shared" si="13"/>
        <v>0.22000424708508823</v>
      </c>
      <c r="L70">
        <f t="shared" si="14"/>
        <v>-1.5141084278838941</v>
      </c>
      <c r="O70">
        <f t="shared" si="15"/>
        <v>0</v>
      </c>
      <c r="Z70" t="s">
        <v>50</v>
      </c>
      <c r="AA70" t="s">
        <v>48</v>
      </c>
      <c r="AB70">
        <v>130</v>
      </c>
    </row>
    <row r="71" spans="1:28" x14ac:dyDescent="0.25">
      <c r="A71">
        <f t="shared" si="8"/>
        <v>-1</v>
      </c>
      <c r="B71">
        <f t="shared" si="9"/>
        <v>120</v>
      </c>
      <c r="C71">
        <f t="shared" si="10"/>
        <v>0</v>
      </c>
      <c r="D71">
        <f t="shared" si="11"/>
        <v>0.26596474786770791</v>
      </c>
      <c r="E71">
        <f t="shared" si="12"/>
        <v>0</v>
      </c>
      <c r="K71">
        <f t="shared" si="13"/>
        <v>0.73403525213229204</v>
      </c>
      <c r="L71">
        <f t="shared" si="14"/>
        <v>-0.30919822409271069</v>
      </c>
      <c r="O71">
        <f t="shared" si="15"/>
        <v>1</v>
      </c>
      <c r="Z71" t="s">
        <v>47</v>
      </c>
      <c r="AA71" t="s">
        <v>48</v>
      </c>
      <c r="AB71">
        <v>120</v>
      </c>
    </row>
    <row r="72" spans="1:28" x14ac:dyDescent="0.25">
      <c r="A72">
        <f t="shared" si="8"/>
        <v>-1</v>
      </c>
      <c r="B72">
        <f t="shared" si="9"/>
        <v>130</v>
      </c>
      <c r="C72">
        <f t="shared" si="10"/>
        <v>0</v>
      </c>
      <c r="D72">
        <f t="shared" si="11"/>
        <v>0.22000424708508823</v>
      </c>
      <c r="E72">
        <f t="shared" si="12"/>
        <v>0</v>
      </c>
      <c r="K72">
        <f t="shared" si="13"/>
        <v>0.77999575291491186</v>
      </c>
      <c r="L72">
        <f t="shared" si="14"/>
        <v>-0.24846680429420584</v>
      </c>
      <c r="O72">
        <f t="shared" si="15"/>
        <v>1</v>
      </c>
      <c r="Z72" t="s">
        <v>47</v>
      </c>
      <c r="AA72" t="s">
        <v>48</v>
      </c>
      <c r="AB72">
        <v>130</v>
      </c>
    </row>
    <row r="73" spans="1:28" x14ac:dyDescent="0.25">
      <c r="A73">
        <f t="shared" si="8"/>
        <v>1</v>
      </c>
      <c r="B73">
        <f t="shared" si="9"/>
        <v>131</v>
      </c>
      <c r="C73">
        <f t="shared" si="10"/>
        <v>1</v>
      </c>
      <c r="D73">
        <f t="shared" si="11"/>
        <v>0.47565086806019091</v>
      </c>
      <c r="E73">
        <f t="shared" si="12"/>
        <v>0</v>
      </c>
      <c r="K73">
        <f t="shared" si="13"/>
        <v>0.47565086806019091</v>
      </c>
      <c r="L73">
        <f t="shared" si="14"/>
        <v>-0.74307116433356291</v>
      </c>
      <c r="O73">
        <f t="shared" si="15"/>
        <v>0</v>
      </c>
      <c r="Z73" t="s">
        <v>50</v>
      </c>
      <c r="AA73" t="s">
        <v>49</v>
      </c>
      <c r="AB73">
        <v>131</v>
      </c>
    </row>
    <row r="74" spans="1:28" x14ac:dyDescent="0.25">
      <c r="A74">
        <f t="shared" si="8"/>
        <v>-1</v>
      </c>
      <c r="B74">
        <f t="shared" si="9"/>
        <v>120</v>
      </c>
      <c r="C74">
        <f t="shared" si="10"/>
        <v>0</v>
      </c>
      <c r="D74">
        <f t="shared" si="11"/>
        <v>0.26596474786770791</v>
      </c>
      <c r="E74">
        <f t="shared" si="12"/>
        <v>0</v>
      </c>
      <c r="K74">
        <f t="shared" si="13"/>
        <v>0.73403525213229204</v>
      </c>
      <c r="L74">
        <f t="shared" si="14"/>
        <v>-0.30919822409271069</v>
      </c>
      <c r="O74">
        <f t="shared" si="15"/>
        <v>1</v>
      </c>
      <c r="Z74" t="s">
        <v>47</v>
      </c>
      <c r="AA74" t="s">
        <v>48</v>
      </c>
      <c r="AB74">
        <v>120</v>
      </c>
    </row>
    <row r="75" spans="1:28" x14ac:dyDescent="0.25">
      <c r="A75">
        <f t="shared" si="8"/>
        <v>-1</v>
      </c>
      <c r="B75">
        <f t="shared" si="9"/>
        <v>118</v>
      </c>
      <c r="C75">
        <f t="shared" si="10"/>
        <v>0</v>
      </c>
      <c r="D75">
        <f t="shared" si="11"/>
        <v>0.2758575309345801</v>
      </c>
      <c r="E75">
        <f t="shared" si="12"/>
        <v>0</v>
      </c>
      <c r="K75">
        <f t="shared" si="13"/>
        <v>0.7241424690654199</v>
      </c>
      <c r="L75">
        <f t="shared" si="14"/>
        <v>-0.32276712547805986</v>
      </c>
      <c r="O75">
        <f t="shared" si="15"/>
        <v>1</v>
      </c>
      <c r="Z75" t="s">
        <v>47</v>
      </c>
      <c r="AA75" t="s">
        <v>48</v>
      </c>
      <c r="AB75">
        <v>118</v>
      </c>
    </row>
    <row r="76" spans="1:28" x14ac:dyDescent="0.25">
      <c r="A76">
        <f t="shared" si="8"/>
        <v>-1</v>
      </c>
      <c r="B76">
        <f t="shared" si="9"/>
        <v>125</v>
      </c>
      <c r="C76">
        <f t="shared" si="10"/>
        <v>0</v>
      </c>
      <c r="D76">
        <f t="shared" si="11"/>
        <v>0.24224372443276904</v>
      </c>
      <c r="E76">
        <f t="shared" si="12"/>
        <v>0</v>
      </c>
      <c r="K76">
        <f t="shared" si="13"/>
        <v>0.75775627556723091</v>
      </c>
      <c r="L76">
        <f t="shared" si="14"/>
        <v>-0.27739348123459812</v>
      </c>
      <c r="O76">
        <f t="shared" si="15"/>
        <v>1</v>
      </c>
      <c r="Z76" t="s">
        <v>47</v>
      </c>
      <c r="AA76" t="s">
        <v>48</v>
      </c>
      <c r="AB76">
        <v>125</v>
      </c>
    </row>
    <row r="77" spans="1:28" x14ac:dyDescent="0.25">
      <c r="A77">
        <f t="shared" si="8"/>
        <v>1</v>
      </c>
      <c r="B77">
        <f t="shared" si="9"/>
        <v>135</v>
      </c>
      <c r="C77">
        <f t="shared" si="10"/>
        <v>1</v>
      </c>
      <c r="D77">
        <f t="shared" si="11"/>
        <v>0.45074699996752343</v>
      </c>
      <c r="E77">
        <f t="shared" si="12"/>
        <v>0</v>
      </c>
      <c r="K77">
        <f t="shared" si="13"/>
        <v>0.45074699996752343</v>
      </c>
      <c r="L77">
        <f t="shared" si="14"/>
        <v>-0.79684907256695259</v>
      </c>
      <c r="O77">
        <f t="shared" si="15"/>
        <v>0</v>
      </c>
      <c r="Z77" t="s">
        <v>50</v>
      </c>
      <c r="AA77" t="s">
        <v>49</v>
      </c>
      <c r="AB77">
        <v>135</v>
      </c>
    </row>
    <row r="78" spans="1:28" x14ac:dyDescent="0.25">
      <c r="A78">
        <f t="shared" si="8"/>
        <v>-1</v>
      </c>
      <c r="B78">
        <f t="shared" si="9"/>
        <v>125</v>
      </c>
      <c r="C78">
        <f t="shared" si="10"/>
        <v>0</v>
      </c>
      <c r="D78">
        <f t="shared" si="11"/>
        <v>0.24224372443276904</v>
      </c>
      <c r="E78">
        <f t="shared" si="12"/>
        <v>0</v>
      </c>
      <c r="K78">
        <f t="shared" si="13"/>
        <v>0.75775627556723091</v>
      </c>
      <c r="L78">
        <f t="shared" si="14"/>
        <v>-0.27739348123459812</v>
      </c>
      <c r="O78">
        <f t="shared" si="15"/>
        <v>1</v>
      </c>
      <c r="Z78" t="s">
        <v>47</v>
      </c>
      <c r="AA78" t="s">
        <v>48</v>
      </c>
      <c r="AB78">
        <v>125</v>
      </c>
    </row>
    <row r="79" spans="1:28" x14ac:dyDescent="0.25">
      <c r="A79">
        <f t="shared" si="8"/>
        <v>-1</v>
      </c>
      <c r="B79">
        <f t="shared" si="9"/>
        <v>118</v>
      </c>
      <c r="C79">
        <f t="shared" si="10"/>
        <v>1</v>
      </c>
      <c r="D79">
        <f t="shared" si="11"/>
        <v>0.2758575309345801</v>
      </c>
      <c r="E79">
        <f t="shared" si="12"/>
        <v>0</v>
      </c>
      <c r="K79">
        <f t="shared" si="13"/>
        <v>0.2758575309345801</v>
      </c>
      <c r="L79">
        <f t="shared" si="14"/>
        <v>-1.287870738804094</v>
      </c>
      <c r="O79">
        <f t="shared" si="15"/>
        <v>0</v>
      </c>
      <c r="Z79" t="s">
        <v>50</v>
      </c>
      <c r="AA79" t="s">
        <v>48</v>
      </c>
      <c r="AB79">
        <v>118</v>
      </c>
    </row>
    <row r="80" spans="1:28" x14ac:dyDescent="0.25">
      <c r="A80">
        <f t="shared" si="8"/>
        <v>-1</v>
      </c>
      <c r="B80">
        <f t="shared" si="9"/>
        <v>122</v>
      </c>
      <c r="C80">
        <f t="shared" si="10"/>
        <v>0</v>
      </c>
      <c r="D80">
        <f t="shared" si="11"/>
        <v>0.25630117116079837</v>
      </c>
      <c r="E80">
        <f t="shared" si="12"/>
        <v>0</v>
      </c>
      <c r="K80">
        <f t="shared" si="13"/>
        <v>0.74369882883920158</v>
      </c>
      <c r="L80">
        <f t="shared" si="14"/>
        <v>-0.29611912604997087</v>
      </c>
      <c r="O80">
        <f t="shared" si="15"/>
        <v>1</v>
      </c>
      <c r="Z80" t="s">
        <v>47</v>
      </c>
      <c r="AA80" t="s">
        <v>48</v>
      </c>
      <c r="AB80">
        <v>122</v>
      </c>
    </row>
    <row r="81" spans="1:28" x14ac:dyDescent="0.25">
      <c r="A81">
        <f t="shared" si="8"/>
        <v>-1</v>
      </c>
      <c r="B81">
        <f t="shared" si="9"/>
        <v>115</v>
      </c>
      <c r="C81">
        <f t="shared" si="10"/>
        <v>0</v>
      </c>
      <c r="D81">
        <f t="shared" si="11"/>
        <v>0.29111620192978005</v>
      </c>
      <c r="E81">
        <f t="shared" si="12"/>
        <v>0</v>
      </c>
      <c r="K81">
        <f t="shared" si="13"/>
        <v>0.70888379807021984</v>
      </c>
      <c r="L81">
        <f t="shared" si="14"/>
        <v>-0.34406366141095329</v>
      </c>
      <c r="O81">
        <f t="shared" si="15"/>
        <v>1</v>
      </c>
      <c r="Z81" t="s">
        <v>47</v>
      </c>
      <c r="AA81" t="s">
        <v>48</v>
      </c>
      <c r="AB81">
        <v>115</v>
      </c>
    </row>
    <row r="82" spans="1:28" x14ac:dyDescent="0.25">
      <c r="A82">
        <f t="shared" si="8"/>
        <v>-1</v>
      </c>
      <c r="B82">
        <f t="shared" si="9"/>
        <v>102</v>
      </c>
      <c r="C82">
        <f t="shared" si="10"/>
        <v>0</v>
      </c>
      <c r="D82">
        <f t="shared" si="11"/>
        <v>0.36253317102649091</v>
      </c>
      <c r="E82">
        <f t="shared" si="12"/>
        <v>0</v>
      </c>
      <c r="K82">
        <f t="shared" si="13"/>
        <v>0.63746682897350904</v>
      </c>
      <c r="L82">
        <f t="shared" si="14"/>
        <v>-0.45025303628604935</v>
      </c>
      <c r="O82">
        <f t="shared" si="15"/>
        <v>1</v>
      </c>
      <c r="Z82" t="s">
        <v>47</v>
      </c>
      <c r="AA82" t="s">
        <v>48</v>
      </c>
      <c r="AB82">
        <v>102</v>
      </c>
    </row>
    <row r="83" spans="1:28" x14ac:dyDescent="0.25">
      <c r="A83">
        <f t="shared" si="8"/>
        <v>-1</v>
      </c>
      <c r="B83">
        <f t="shared" si="9"/>
        <v>115</v>
      </c>
      <c r="C83">
        <f t="shared" si="10"/>
        <v>0</v>
      </c>
      <c r="D83">
        <f t="shared" si="11"/>
        <v>0.29111620192978005</v>
      </c>
      <c r="E83">
        <f t="shared" si="12"/>
        <v>0</v>
      </c>
      <c r="K83">
        <f t="shared" si="13"/>
        <v>0.70888379807021984</v>
      </c>
      <c r="L83">
        <f t="shared" si="14"/>
        <v>-0.34406366141095329</v>
      </c>
      <c r="O83">
        <f t="shared" si="15"/>
        <v>1</v>
      </c>
      <c r="Z83" t="s">
        <v>47</v>
      </c>
      <c r="AA83" t="s">
        <v>48</v>
      </c>
      <c r="AB83">
        <v>115</v>
      </c>
    </row>
    <row r="84" spans="1:28" x14ac:dyDescent="0.25">
      <c r="A84">
        <f t="shared" si="8"/>
        <v>-1</v>
      </c>
      <c r="B84">
        <f t="shared" si="9"/>
        <v>150</v>
      </c>
      <c r="C84">
        <f t="shared" si="10"/>
        <v>0</v>
      </c>
      <c r="D84">
        <f t="shared" si="11"/>
        <v>0.14597335264637382</v>
      </c>
      <c r="E84">
        <f t="shared" si="12"/>
        <v>0</v>
      </c>
      <c r="K84">
        <f t="shared" si="13"/>
        <v>0.85402664735362621</v>
      </c>
      <c r="L84">
        <f t="shared" si="14"/>
        <v>-0.15779288269017575</v>
      </c>
      <c r="O84">
        <f t="shared" si="15"/>
        <v>1</v>
      </c>
      <c r="Z84" t="s">
        <v>47</v>
      </c>
      <c r="AA84" t="s">
        <v>48</v>
      </c>
      <c r="AB84">
        <v>150</v>
      </c>
    </row>
    <row r="85" spans="1:28" x14ac:dyDescent="0.25">
      <c r="A85">
        <f t="shared" si="8"/>
        <v>-1</v>
      </c>
      <c r="B85">
        <f t="shared" si="9"/>
        <v>110</v>
      </c>
      <c r="C85">
        <f t="shared" si="10"/>
        <v>0</v>
      </c>
      <c r="D85">
        <f t="shared" si="11"/>
        <v>0.31761697606933764</v>
      </c>
      <c r="E85">
        <f t="shared" si="12"/>
        <v>0</v>
      </c>
      <c r="K85">
        <f t="shared" si="13"/>
        <v>0.6823830239306623</v>
      </c>
      <c r="L85">
        <f t="shared" si="14"/>
        <v>-0.38216416012075516</v>
      </c>
      <c r="O85">
        <f t="shared" si="15"/>
        <v>1</v>
      </c>
      <c r="Z85" t="s">
        <v>47</v>
      </c>
      <c r="AA85" t="s">
        <v>48</v>
      </c>
      <c r="AB85">
        <v>110</v>
      </c>
    </row>
    <row r="86" spans="1:28" x14ac:dyDescent="0.25">
      <c r="A86">
        <f t="shared" si="8"/>
        <v>-1</v>
      </c>
      <c r="B86">
        <f t="shared" si="9"/>
        <v>116</v>
      </c>
      <c r="C86">
        <f t="shared" si="10"/>
        <v>1</v>
      </c>
      <c r="D86">
        <f t="shared" si="11"/>
        <v>0.28597492574954664</v>
      </c>
      <c r="E86">
        <f t="shared" si="12"/>
        <v>0</v>
      </c>
      <c r="K86">
        <f t="shared" si="13"/>
        <v>0.28597492574954664</v>
      </c>
      <c r="L86">
        <f t="shared" si="14"/>
        <v>-1.2518511442100992</v>
      </c>
      <c r="O86">
        <f t="shared" si="15"/>
        <v>0</v>
      </c>
      <c r="Z86" t="s">
        <v>50</v>
      </c>
      <c r="AA86" t="s">
        <v>48</v>
      </c>
      <c r="AB86">
        <v>116</v>
      </c>
    </row>
    <row r="87" spans="1:28" x14ac:dyDescent="0.25">
      <c r="A87">
        <f t="shared" si="8"/>
        <v>1</v>
      </c>
      <c r="B87">
        <f t="shared" si="9"/>
        <v>108</v>
      </c>
      <c r="C87">
        <f t="shared" si="10"/>
        <v>0</v>
      </c>
      <c r="D87">
        <f t="shared" si="11"/>
        <v>0.61740720487023881</v>
      </c>
      <c r="E87">
        <f t="shared" si="12"/>
        <v>1</v>
      </c>
      <c r="K87">
        <f t="shared" si="13"/>
        <v>0.38259279512976113</v>
      </c>
      <c r="L87">
        <f t="shared" si="14"/>
        <v>-0.96078405349213303</v>
      </c>
      <c r="O87">
        <f t="shared" si="15"/>
        <v>0</v>
      </c>
      <c r="Z87" t="s">
        <v>47</v>
      </c>
      <c r="AA87" t="s">
        <v>49</v>
      </c>
      <c r="AB87">
        <v>108</v>
      </c>
    </row>
    <row r="88" spans="1:28" x14ac:dyDescent="0.25">
      <c r="A88">
        <f t="shared" si="8"/>
        <v>-1</v>
      </c>
      <c r="B88">
        <f t="shared" si="9"/>
        <v>95</v>
      </c>
      <c r="C88">
        <f t="shared" si="10"/>
        <v>1</v>
      </c>
      <c r="D88">
        <f t="shared" si="11"/>
        <v>0.40394061495031541</v>
      </c>
      <c r="E88">
        <f t="shared" si="12"/>
        <v>0</v>
      </c>
      <c r="K88">
        <f t="shared" si="13"/>
        <v>0.40394061495031541</v>
      </c>
      <c r="L88">
        <f t="shared" si="14"/>
        <v>-0.90648740452271137</v>
      </c>
      <c r="O88">
        <f t="shared" si="15"/>
        <v>0</v>
      </c>
      <c r="Z88" t="s">
        <v>50</v>
      </c>
      <c r="AA88" t="s">
        <v>48</v>
      </c>
      <c r="AB88">
        <v>95</v>
      </c>
    </row>
    <row r="89" spans="1:28" x14ac:dyDescent="0.25">
      <c r="A89">
        <f t="shared" si="8"/>
        <v>1</v>
      </c>
      <c r="B89">
        <f t="shared" si="9"/>
        <v>125</v>
      </c>
      <c r="C89">
        <f t="shared" si="10"/>
        <v>1</v>
      </c>
      <c r="D89">
        <f t="shared" si="11"/>
        <v>0.51319577878585099</v>
      </c>
      <c r="E89">
        <f t="shared" si="12"/>
        <v>1</v>
      </c>
      <c r="K89">
        <f t="shared" si="13"/>
        <v>0.51319577878585099</v>
      </c>
      <c r="L89">
        <f t="shared" si="14"/>
        <v>-0.66709787155536626</v>
      </c>
      <c r="O89">
        <f t="shared" si="15"/>
        <v>1</v>
      </c>
      <c r="Z89" t="s">
        <v>50</v>
      </c>
      <c r="AA89" t="s">
        <v>49</v>
      </c>
      <c r="AB89">
        <v>125</v>
      </c>
    </row>
    <row r="90" spans="1:28" x14ac:dyDescent="0.25">
      <c r="A90">
        <f t="shared" si="8"/>
        <v>-1</v>
      </c>
      <c r="B90">
        <f t="shared" si="9"/>
        <v>133</v>
      </c>
      <c r="C90">
        <f t="shared" si="10"/>
        <v>0</v>
      </c>
      <c r="D90">
        <f t="shared" si="11"/>
        <v>0.20738245387111789</v>
      </c>
      <c r="E90">
        <f t="shared" si="12"/>
        <v>0</v>
      </c>
      <c r="K90">
        <f t="shared" si="13"/>
        <v>0.79261754612888213</v>
      </c>
      <c r="L90">
        <f t="shared" si="14"/>
        <v>-0.23241446103847985</v>
      </c>
      <c r="O90">
        <f t="shared" si="15"/>
        <v>1</v>
      </c>
      <c r="Z90" t="s">
        <v>47</v>
      </c>
      <c r="AA90" t="s">
        <v>48</v>
      </c>
      <c r="AB90">
        <v>133</v>
      </c>
    </row>
    <row r="91" spans="1:28" x14ac:dyDescent="0.25">
      <c r="A91">
        <f t="shared" si="8"/>
        <v>-1</v>
      </c>
      <c r="B91">
        <f t="shared" si="9"/>
        <v>110</v>
      </c>
      <c r="C91">
        <f t="shared" si="10"/>
        <v>0</v>
      </c>
      <c r="D91">
        <f t="shared" si="11"/>
        <v>0.31761697606933764</v>
      </c>
      <c r="E91">
        <f t="shared" si="12"/>
        <v>0</v>
      </c>
      <c r="K91">
        <f t="shared" si="13"/>
        <v>0.6823830239306623</v>
      </c>
      <c r="L91">
        <f t="shared" si="14"/>
        <v>-0.38216416012075516</v>
      </c>
      <c r="O91">
        <f t="shared" si="15"/>
        <v>1</v>
      </c>
      <c r="Z91" t="s">
        <v>47</v>
      </c>
      <c r="AA91" t="s">
        <v>48</v>
      </c>
      <c r="AB91">
        <v>110</v>
      </c>
    </row>
    <row r="92" spans="1:28" x14ac:dyDescent="0.25">
      <c r="A92">
        <f t="shared" si="8"/>
        <v>-1</v>
      </c>
      <c r="B92">
        <f t="shared" si="9"/>
        <v>150</v>
      </c>
      <c r="C92">
        <f t="shared" si="10"/>
        <v>1</v>
      </c>
      <c r="D92">
        <f t="shared" si="11"/>
        <v>0.14597335264637382</v>
      </c>
      <c r="E92">
        <f t="shared" si="12"/>
        <v>0</v>
      </c>
      <c r="K92">
        <f t="shared" si="13"/>
        <v>0.14597335264637382</v>
      </c>
      <c r="L92">
        <f t="shared" si="14"/>
        <v>-1.9243311900526221</v>
      </c>
      <c r="O92">
        <f t="shared" si="15"/>
        <v>0</v>
      </c>
      <c r="Z92" t="s">
        <v>50</v>
      </c>
      <c r="AA92" t="s">
        <v>48</v>
      </c>
      <c r="AB92">
        <v>150</v>
      </c>
    </row>
    <row r="93" spans="1:28" x14ac:dyDescent="0.25">
      <c r="A93">
        <f t="shared" si="8"/>
        <v>-1</v>
      </c>
      <c r="B93">
        <f t="shared" si="9"/>
        <v>108</v>
      </c>
      <c r="C93">
        <f t="shared" si="10"/>
        <v>0</v>
      </c>
      <c r="D93">
        <f t="shared" si="11"/>
        <v>0.32857101257215399</v>
      </c>
      <c r="E93">
        <f t="shared" si="12"/>
        <v>0</v>
      </c>
      <c r="K93">
        <f t="shared" si="13"/>
        <v>0.67142898742784596</v>
      </c>
      <c r="L93">
        <f t="shared" si="14"/>
        <v>-0.39834702076610473</v>
      </c>
      <c r="O93">
        <f t="shared" si="15"/>
        <v>1</v>
      </c>
      <c r="Z93" t="s">
        <v>47</v>
      </c>
      <c r="AA93" t="s">
        <v>48</v>
      </c>
      <c r="AB93">
        <v>108</v>
      </c>
    </row>
  </sheetData>
  <mergeCells count="3">
    <mergeCell ref="T1:X8"/>
    <mergeCell ref="P1:Q1"/>
    <mergeCell ref="P4:Q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LogitMultinomialNominal</vt:lpstr>
      <vt:lpstr>LogitMultinomialOrdinal</vt:lpstr>
      <vt:lpstr>DadosIntrodução</vt:lpstr>
      <vt:lpstr>LogitCondicionalNonimal</vt:lpstr>
      <vt:lpstr>ProbitBinário</vt:lpstr>
      <vt:lpstr>LogitBinário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RCQ</dc:creator>
  <cp:lastModifiedBy>GUILHERME LOPES</cp:lastModifiedBy>
  <dcterms:created xsi:type="dcterms:W3CDTF">2016-04-07T02:10:15Z</dcterms:created>
  <dcterms:modified xsi:type="dcterms:W3CDTF">2016-05-20T03:34:40Z</dcterms:modified>
</cp:coreProperties>
</file>